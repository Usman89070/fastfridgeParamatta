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age Plan" sheetId="2" state="visible" r:id="rId4"/>
    <sheet name="Keyword List" sheetId="3" state="visible" r:id="rId5"/>
    <sheet name="Competitors" sheetId="4" state="visible" r:id="rId6"/>
    <sheet name="Competitor Gaps" sheetId="5" state="visible" r:id="rId7"/>
    <sheet name="Site Audit" sheetId="6" state="visible" r:id="rId8"/>
    <sheet name="Old Plan Review" sheetId="7" state="visible" r:id="rId9"/>
  </sheets>
  <definedNames>
    <definedName function="false" hidden="true" localSheetId="4" name="_xlnm._FilterDatabase" vbProcedure="false">'Competitor Gaps'!$A$1:$I$28</definedName>
    <definedName function="false" hidden="true" localSheetId="2" name="_xlnm._FilterDatabase" vbProcedure="false">'Keyword List'!$A$1:$I$257</definedName>
    <definedName function="false" hidden="true" localSheetId="1" name="_xlnm._FilterDatabase" vbProcedure="false">'Page Plan'!$A$1:$T$33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<sst xmlns="http://schemas.openxmlformats.org/spreadsheetml/2006/main" count="1622" uniqueCount="792">
  <si>
    <t xml:space="preserve">SEO Keyword Strategy - fridgerepairparramatta.com.au</t>
  </si>
  <si>
    <t xml:space="preserve">Research date: 16 Oct 2026  |  Data: Semrush AU database  |  Keyword filter: KD 0-20, commercial/transactional first</t>
  </si>
  <si>
    <t xml:space="preserve">Key numbers</t>
  </si>
  <si>
    <t xml:space="preserve">Keywords in the list (KD 0-20)</t>
  </si>
  <si>
    <t xml:space="preserve">  of which Commercial / Transactional ("Money")</t>
  </si>
  <si>
    <t xml:space="preserve">  of which Informational only ("Support", for blog/FAQ)</t>
  </si>
  <si>
    <t xml:space="preserve">Average KD of the list</t>
  </si>
  <si>
    <t xml:space="preserve">Keywords with KD &lt;= 10</t>
  </si>
  <si>
    <t xml:space="preserve">Pages in plan</t>
  </si>
  <si>
    <t xml:space="preserve">  Existing pages to optimise</t>
  </si>
  <si>
    <t xml:space="preserve">  New pages to create</t>
  </si>
  <si>
    <t xml:space="preserve">  New pages that are conditional (check service area)</t>
  </si>
  <si>
    <t xml:space="preserve">Competitors analysed</t>
  </si>
  <si>
    <t xml:space="preserve">Your current Semrush organic keywords</t>
  </si>
  <si>
    <t xml:space="preserve">Source: Semrush Domain Overview (hard-coded input)</t>
  </si>
  <si>
    <t xml:space="preserve">Pages by action</t>
  </si>
  <si>
    <t xml:space="preserve">Page type</t>
  </si>
  <si>
    <t xml:space="preserve">Pages</t>
  </si>
  <si>
    <t xml:space="preserve">Total keyword volume</t>
  </si>
  <si>
    <t xml:space="preserve">Core (money)</t>
  </si>
  <si>
    <t xml:space="preserve">Hub</t>
  </si>
  <si>
    <t xml:space="preserve">Service (money)</t>
  </si>
  <si>
    <t xml:space="preserve">Commercial (money)</t>
  </si>
  <si>
    <t xml:space="preserve">Brand (money)</t>
  </si>
  <si>
    <t xml:space="preserve">Suburb (money)</t>
  </si>
  <si>
    <t xml:space="preserve">Regional hub (money)</t>
  </si>
  <si>
    <t xml:space="preserve">Blog (info)</t>
  </si>
  <si>
    <t xml:space="preserve">What to do first (priority order)</t>
  </si>
  <si>
    <t xml:space="preserve">1. Fix basics on live site: add phone number + tel: links, match NAP with Google Business Profile.</t>
  </si>
  <si>
    <t xml:space="preserve">2. Optimise the 7 live money pages (HOME, SERV-HUB, NOTCOOL, REGAS, COST, EMERG, BRANDS) with the titles/H1s/keywords in Page Plan.</t>
  </si>
  <si>
    <t xml:space="preserve">3. Build the commercial cluster first: COMM-FRIDGE, COOLROOM, COMM-FREEZER, ICE - highest volume with low KD and few Sydney rivals who have dedicated pages.</t>
  </si>
  <si>
    <t xml:space="preserve">4. Build SEAL (door seal) and FREEZER - biggest un-served residential volume.</t>
  </si>
  <si>
    <t xml:space="preserve">5. Build the 8 brand pages in order: Samsung, LG, Westinghouse, Fisher &amp; Paykel, then Electrolux, Haier, Hisense, Miele.</t>
  </si>
  <si>
    <t xml:space="preserve">6. Add /areas hub, Blacktown and Hills District pages. Western Sydney page only if you actually service those suburbs.</t>
  </si>
  <si>
    <t xml:space="preserve">7. Write the 3 new blog posts after core pages are live (leaking water first).</t>
  </si>
  <si>
    <t xml:space="preserve">8. Track the keywords in Semrush Position Tracking (AU, Parramatta) - Keyword List sheet is ready to import.</t>
  </si>
  <si>
    <t xml:space="preserve">Important notes and limits</t>
  </si>
  <si>
    <t xml:space="preserve">Volumes and KD are Semrush estimates for Australia as a whole, not Parramatta only. Local searches ("near me", suburb) are won mainly with the homepage, Google Business Profile and reviews.</t>
  </si>
  <si>
    <t xml:space="preserve">Semrush showed no volume for most hyper-local phrases (e.g. "fridge repair parramatta" singular). Local pages are therefore justified by conversion value, not search volume. "fridge repairs parramatta" (140 vol, KD 5) is the exception.</t>
  </si>
  <si>
    <t xml:space="preserve">Brand keywords are labelled Navigational by Semrush ("lg fridge repair") but people searching them want a repair - kept deliberately. Washing machine / dishwasher / TV queries were removed.</t>
  </si>
  <si>
    <t xml:space="preserve">US brands (Maytag, Amana, GE, Jenn-Air) are only on the Brands hub - confirm you service them before targeting.</t>
  </si>
  <si>
    <t xml:space="preserve">KD above 20 (e.g. "fridge repair near me" KD 54, "fridge repairs sydney" KD 39) was excluded as requested; these are long-term targets.</t>
  </si>
  <si>
    <t xml:space="preserve">The earlier 8-week file is not replaced: its Technical, GBP, Citations and KPI tabs still apply. See "Old Plan Review" for what changes.</t>
  </si>
  <si>
    <t xml:space="preserve">Page ID</t>
  </si>
  <si>
    <t xml:space="preserve">Phase</t>
  </si>
  <si>
    <t xml:space="preserve">Priority</t>
  </si>
  <si>
    <t xml:space="preserve">Page name</t>
  </si>
  <si>
    <t xml:space="preserve">URL</t>
  </si>
  <si>
    <t xml:space="preserve">Action</t>
  </si>
  <si>
    <t xml:space="preserve">Primary keyword</t>
  </si>
  <si>
    <t xml:space="preserve">Primary kw volume</t>
  </si>
  <si>
    <t xml:space="preserve"># keywords</t>
  </si>
  <si>
    <t xml:space="preserve">Total volume</t>
  </si>
  <si>
    <t xml:space="preserve">Avg KD</t>
  </si>
  <si>
    <t xml:space="preserve">Title tag (&lt;=60)</t>
  </si>
  <si>
    <t xml:space="preserve">Title chars</t>
  </si>
  <si>
    <t xml:space="preserve">Meta description (&lt;=155)</t>
  </si>
  <si>
    <t xml:space="preserve">Meta chars</t>
  </si>
  <si>
    <t xml:space="preserve">H1</t>
  </si>
  <si>
    <t xml:space="preserve">Notes / what to build</t>
  </si>
  <si>
    <t xml:space="preserve">Competitor benchmark</t>
  </si>
  <si>
    <t xml:space="preserve">Status</t>
  </si>
  <si>
    <t xml:space="preserve">HOME</t>
  </si>
  <si>
    <t xml:space="preserve">Wk 1-2</t>
  </si>
  <si>
    <t xml:space="preserve">P1</t>
  </si>
  <si>
    <t xml:space="preserve">Homepage</t>
  </si>
  <si>
    <t xml:space="preserve">/</t>
  </si>
  <si>
    <t xml:space="preserve">Optimise existing</t>
  </si>
  <si>
    <t xml:space="preserve">fridge repairs near me</t>
  </si>
  <si>
    <t xml:space="preserve">Fridge Repair Parramatta | Same-Day Fridge Technicians</t>
  </si>
  <si>
    <t xml:space="preserve">Fridge repairs in Parramatta &amp; Western Sydney. Same-day service, free quotes, 1-year workmanship warranty, 24/7 emergency. Book online now.</t>
  </si>
  <si>
    <t xml:space="preserve">Fridge Repair Parramatta - Same-Day Technicians</t>
  </si>
  <si>
    <t xml:space="preserve">Homepage already ranks for 9 keywords. Put "fridge repairs parramatta" (140, KD 5) in title/H1/first 100 words and add the phone number (missing on site) in header + tel: links. Head terms like "fridge repairs near me" are won with homepage + Google Business Profile together. Link to every new money page from here.</t>
  </si>
  <si>
    <t xml:space="preserve">fastfridgerepairs.com.au, fridgerepairs.com.au, sydneyfridgerepair.com.au</t>
  </si>
  <si>
    <t xml:space="preserve">Optimise</t>
  </si>
  <si>
    <t xml:space="preserve">SERV-HUB</t>
  </si>
  <si>
    <t xml:space="preserve">Services Hub</t>
  </si>
  <si>
    <t xml:space="preserve">/services</t>
  </si>
  <si>
    <t xml:space="preserve">refrigerator repair and service</t>
  </si>
  <si>
    <t xml:space="preserve">Fridge &amp; Refrigerator Repair Services Parramatta</t>
  </si>
  <si>
    <t xml:space="preserve">All fridge, freezer, coolroom and ice machine repairs in Parramatta. Residential and commercial. Same-day visits, free quotes, 1-year warranty.</t>
  </si>
  <si>
    <t xml:space="preserve">Fridge &amp; Refrigerator Repair Services in Parramatta</t>
  </si>
  <si>
    <t xml:space="preserve">Live page uses anchors (#commercial, #by-fault, #by-type) instead of real pages. Turn each anchor into a link to its own page (see Page Plan). Hub should list every service with 2-3 lines + link.</t>
  </si>
  <si>
    <t xml:space="preserve">fridgerepairs.com.au (single service-led homepage)</t>
  </si>
  <si>
    <t xml:space="preserve">NOTCOOL</t>
  </si>
  <si>
    <t xml:space="preserve">Fridge Not Cooling Repair</t>
  </si>
  <si>
    <t xml:space="preserve">/fridge-not-cooling-repair</t>
  </si>
  <si>
    <t xml:space="preserve">fridge not cold but freezer works</t>
  </si>
  <si>
    <t xml:space="preserve">Fridge Not Cooling? Repair in Parramatta | Same Day</t>
  </si>
  <si>
    <t xml:space="preserve">Fridge not cooling or not cold but freezer works? Our Parramatta technicians diagnose and fix it same day. Free quote, 1-year warranty.</t>
  </si>
  <si>
    <t xml:space="preserve">Fridge Not Cooling Repair in Parramatta</t>
  </si>
  <si>
    <t xml:space="preserve">Already live - keep the URL. Add symptom sections (light on but warm, freezer ok/fridge warm, compressor running), pricing range and FAQ. Pair with local modifier "parramatta" (not measured by Semrush but this is how people search). Informational keywords go to the blog post, not here.</t>
  </si>
  <si>
    <t xml:space="preserve">thefridgeguy.com.au /fridge-not-cold-but-freezer-ok/ (pos 2-3)</t>
  </si>
  <si>
    <t xml:space="preserve">REGAS</t>
  </si>
  <si>
    <t xml:space="preserve">Fridge Regas &amp; Gas Leak Repair</t>
  </si>
  <si>
    <t xml:space="preserve">/fridge-regas</t>
  </si>
  <si>
    <t xml:space="preserve">fridge regas</t>
  </si>
  <si>
    <t xml:space="preserve">Fridge Regas Parramatta | Gas Refill &amp; Leak Repair</t>
  </si>
  <si>
    <t xml:space="preserve">Fridge regas and leak repair in Parramatta. R600a and R134a, leak test first, same-day service, transparent price and 1-year warranty.</t>
  </si>
  <si>
    <t xml:space="preserve">Fridge Regas &amp; Gas Leak Repair in Parramatta</t>
  </si>
  <si>
    <t xml:space="preserve">Live page. Strong low-KD cluster (fridge regas KD 9, regas freezer KD 6, regas refrigerator KD 6). Add: why regassing alone is often not the fix, leak-test step, price range, freezer regas section. Copy the structure of fastfridgerepairs.com.au guide (ranks #1-5 for regas terms) but with a real booking CTA.</t>
  </si>
  <si>
    <t xml:space="preserve">fastfridgerepairs.com.au /fridge-gas-refill-sydney-guide/ (pos 1-8), sra.net.au /services/regas.html</t>
  </si>
  <si>
    <t xml:space="preserve">COST</t>
  </si>
  <si>
    <t xml:space="preserve">Fridge Repair Cost Guide</t>
  </si>
  <si>
    <t xml:space="preserve">/fridge-repair-cost</t>
  </si>
  <si>
    <t xml:space="preserve">fridge repair cost</t>
  </si>
  <si>
    <t xml:space="preserve">Fridge Repair Cost in Parramatta | 2026 Price Guide</t>
  </si>
  <si>
    <t xml:space="preserve">How much does fridge repair cost in Parramatta? Typical prices for regas, compressor, seals and thermostats plus free quote. Updated 2026.</t>
  </si>
  <si>
    <t xml:space="preserve">How Much Does Fridge Repair Cost in Parramatta?</t>
  </si>
  <si>
    <t xml:space="preserve">Live page. 8 price keywords, all KD 4-17. Add a price table by fault, call-out vs repair vs replace guidance, and a quote form. Link in from HOME, REGAS, SEAL, COMPRESSOR.</t>
  </si>
  <si>
    <t xml:space="preserve">thefridgeguy.com.au (pos 1-3 for fridge repair price/cost)</t>
  </si>
  <si>
    <t xml:space="preserve">EMERG</t>
  </si>
  <si>
    <t xml:space="preserve">Emergency Fridge Repair 24/7</t>
  </si>
  <si>
    <t xml:space="preserve">/emergency-fridge-repair</t>
  </si>
  <si>
    <t xml:space="preserve">emergency commercial refrigeration repair</t>
  </si>
  <si>
    <t xml:space="preserve">24/7 Emergency Fridge Repair Parramatta | Same Day</t>
  </si>
  <si>
    <t xml:space="preserve">24/7 emergency fridge, freezer and coolroom repair in Parramatta. Fast dispatch, stocked vans, free quote. Book online or call now.</t>
  </si>
  <si>
    <t xml:space="preserve">24/7 Emergency Fridge &amp; Coolroom Repair in Parramatta</t>
  </si>
  <si>
    <t xml:space="preserve">Live page. Add commercial emergency angle (210 vol, KD 5) - restaurants, cafes, medical fridges, stock-loss risk. Add phone number prominently.</t>
  </si>
  <si>
    <t xml:space="preserve">commercialfridgerepairs.com.au, jdrgrp.com.au (commercial breakdown pages)</t>
  </si>
  <si>
    <t xml:space="preserve">BRANDS</t>
  </si>
  <si>
    <t xml:space="preserve">Wk 3-4</t>
  </si>
  <si>
    <t xml:space="preserve">P2</t>
  </si>
  <si>
    <t xml:space="preserve">Brands Hub</t>
  </si>
  <si>
    <t xml:space="preserve">/brands</t>
  </si>
  <si>
    <t xml:space="preserve">maytag fridge repairs</t>
  </si>
  <si>
    <t xml:space="preserve">Fridge Brands We Repair in Parramatta | All Major Brands</t>
  </si>
  <si>
    <t xml:space="preserve">We repair Samsung, LG, Westinghouse, Fisher &amp; Paykel, Electrolux, Haier, Hisense, Miele and more in Parramatta. Same-day service.</t>
  </si>
  <si>
    <t xml:space="preserve">Fridge Brands We Repair in Parramatta</t>
  </si>
  <si>
    <t xml:space="preserve">Live page lists ~50 brands. Make each major brand a link to its own page (below). Smaller brands (Bosch, CHiQ, Maytag, Amana, GE) stay as sections here - volume is 50-110 each. Confirm you actually service US brands before targeting them.</t>
  </si>
  <si>
    <t xml:space="preserve">sydneyfridgerepair.com.au /brands/ (LG, Samsung, GE pages)</t>
  </si>
  <si>
    <t xml:space="preserve">B-NOTCOOL</t>
  </si>
  <si>
    <t xml:space="preserve">Blog: Fridge Not Cooling - Causes</t>
  </si>
  <si>
    <t xml:space="preserve">/blog-fridge-not-cooling-causes</t>
  </si>
  <si>
    <t xml:space="preserve">fridge not cooling</t>
  </si>
  <si>
    <t xml:space="preserve">Fridge Not Cooling? 7 Common Causes &amp; Fixes</t>
  </si>
  <si>
    <t xml:space="preserve">Fridge not cooling or not cold enough? 7 common causes, what you can check yourself, and when to call a Parramatta technician.</t>
  </si>
  <si>
    <t xml:space="preserve">Fridge Not Cooling? 7 Causes and How to Fix Them</t>
  </si>
  <si>
    <t xml:space="preserve">Live blog (URL pattern is /blog-xxx, different from the old plan). Best informational cluster found: 11 keywords, 390 top volume, KD 7-19. Use each question as an H2 and link to NOTCOOL service page.</t>
  </si>
  <si>
    <t xml:space="preserve">thefridgeguy.com.au (pos 2-3 for fridge not cooling/cold)</t>
  </si>
  <si>
    <t xml:space="preserve">B-SUMMER</t>
  </si>
  <si>
    <t xml:space="preserve">Wk 5-6</t>
  </si>
  <si>
    <t xml:space="preserve">P3</t>
  </si>
  <si>
    <t xml:space="preserve">Blog: Summer Fridge Maintenance</t>
  </si>
  <si>
    <t xml:space="preserve">/blog-summer-fridge-maintenance-tips</t>
  </si>
  <si>
    <t xml:space="preserve">fridge maintenance</t>
  </si>
  <si>
    <t xml:space="preserve">Fridge Maintenance Tips for Australian Summer</t>
  </si>
  <si>
    <t xml:space="preserve">Simple fridge maintenance tips for hot Sydney summers: clean coils, check seals, set temperatures and avoid breakdowns.</t>
  </si>
  <si>
    <t xml:space="preserve">Summer Fridge Maintenance Tips for Sydney Homes</t>
  </si>
  <si>
    <t xml:space="preserve">Live blog. One measured keyword (fridge maintenance 110, KD 7). Keep, refresh, link to SEAL and SERV-HUB.</t>
  </si>
  <si>
    <t xml:space="preserve">thefridgeguy.com.au (pos 1 for fridge maintenance)</t>
  </si>
  <si>
    <t xml:space="preserve">FREEZER</t>
  </si>
  <si>
    <t xml:space="preserve">Freezer Repair</t>
  </si>
  <si>
    <t xml:space="preserve">/services/freezer-repair</t>
  </si>
  <si>
    <t xml:space="preserve">Create new</t>
  </si>
  <si>
    <t xml:space="preserve">freezer repair</t>
  </si>
  <si>
    <t xml:space="preserve">Freezer Repair Parramatta | Upright &amp; Chest Freezers</t>
  </si>
  <si>
    <t xml:space="preserve">Freezer repair in Parramatta: upright, chest and fridge-freezer units. Same-day visits, free quote, 1-year warranty.</t>
  </si>
  <si>
    <t xml:space="preserve">Freezer Repair in Parramatta</t>
  </si>
  <si>
    <t xml:space="preserve">Live site only has an anchor (#by-type). 10 keywords, KD 7-19, top term "freezer repair" 480 (KD 7). Include fridge-freezer, chest and upright sections, "not freezing" symptoms, regas link.</t>
  </si>
  <si>
    <t xml:space="preserve">fridgerepairs.com.au (pos 1 for freezer repair), fridgerepairs.net.au (pos 6)</t>
  </si>
  <si>
    <t xml:space="preserve">To do</t>
  </si>
  <si>
    <t xml:space="preserve">COMM-FRIDGE</t>
  </si>
  <si>
    <t xml:space="preserve">Commercial Fridge &amp; Refrigeration Repair (hub)</t>
  </si>
  <si>
    <t xml:space="preserve">/commercial/commercial-refrigeration-repair</t>
  </si>
  <si>
    <t xml:space="preserve">commercial refrigeration repair</t>
  </si>
  <si>
    <t xml:space="preserve">Commercial Refrigeration Repair Parramatta | 24/7</t>
  </si>
  <si>
    <t xml:space="preserve">Commercial fridge and refrigeration repair in Parramatta and Western Sydney. Restaurants, cafes, hotels, medical. Fast response, free quote.</t>
  </si>
  <si>
    <t xml:space="preserve">Commercial Refrigeration Repair in Parramatta</t>
  </si>
  <si>
    <t xml:space="preserve">Biggest commercial opportunity: 26 keywords, 7 with 390+ volume, KD 5-19. Live site only has an anchor (#commercial). Include display/bar/under-bench fridges as sections (display fridge repair = only 50, so no separate page), industries served, maintenance plans, emergency CTA, links to freezer/coolroom/ice pages.</t>
  </si>
  <si>
    <t xml:space="preserve">commercialfridgerepairs.com.au, jdrgrp.com.au /commercial-refrigeration-sydney/repairs/, comref.com.au, instachill.com.au /fridge-repairs/</t>
  </si>
  <si>
    <t xml:space="preserve">COMM-FREEZER</t>
  </si>
  <si>
    <t xml:space="preserve">Commercial Freezer Repair</t>
  </si>
  <si>
    <t xml:space="preserve">/commercial/commercial-freezer-repair</t>
  </si>
  <si>
    <t xml:space="preserve">commercial freezer repair</t>
  </si>
  <si>
    <t xml:space="preserve">Commercial Freezer Repair Parramatta | Same Day</t>
  </si>
  <si>
    <t xml:space="preserve">Commercial freezer repair and service in Parramatta: upright, chest, blast and display freezers. 24/7 emergency, free quote.</t>
  </si>
  <si>
    <t xml:space="preserve">Commercial Freezer Repair in Parramatta</t>
  </si>
  <si>
    <t xml:space="preserve">"commercial freezer repair" = 590 vol, KD 10, one of the best money keywords found. Separate page so it does not compete with the refrigeration hub.</t>
  </si>
  <si>
    <t xml:space="preserve">comref.com.au (pos 1-2), instachill.com.au (pos 3), arcus.com.au (pos 4)</t>
  </si>
  <si>
    <t xml:space="preserve">COOLROOM</t>
  </si>
  <si>
    <t xml:space="preserve">Coolroom &amp; Cold Room Repair</t>
  </si>
  <si>
    <t xml:space="preserve">/commercial/coolroom-repair</t>
  </si>
  <si>
    <t xml:space="preserve">cool room repairs</t>
  </si>
  <si>
    <t xml:space="preserve">Coolroom Repairs Parramatta | Cold Room Repair Sydney</t>
  </si>
  <si>
    <t xml:space="preserve">Coolroom and cold room repair in Parramatta and Western Sydney. Walk-in coolers and freezer rooms, 24/7 breakdown service, free quote.</t>
  </si>
  <si>
    <t xml:space="preserve">Coolroom &amp; Cold Room Repairs in Parramatta</t>
  </si>
  <si>
    <t xml:space="preserve">"cool room repairs" = 480 vol, KD 3. 15 keywords, KD 3-20. Must use both spellings: "coolroom" and "cool room", plus "cold room". Include walk-in freezer rooms, door/hinge/seal, evaporator and compressor faults.</t>
  </si>
  <si>
    <t xml:space="preserve">jdrgrp.com.au /commercial-coolroom/, comref.com.au /coolroom-repair-service, fastfridgerepairs.com.au /commercial-coolroom-repairs-sydney/</t>
  </si>
  <si>
    <t xml:space="preserve">ICE</t>
  </si>
  <si>
    <t xml:space="preserve">Ice Machine Repair</t>
  </si>
  <si>
    <t xml:space="preserve">/commercial/ice-machine-repair</t>
  </si>
  <si>
    <t xml:space="preserve">ice machine repair</t>
  </si>
  <si>
    <t xml:space="preserve">Ice Machine Repair Parramatta | Commercial Ice Makers</t>
  </si>
  <si>
    <t xml:space="preserve">Ice machine repair and servicing in Parramatta: flaker, cuber and under-bench ice makers. Ice-O-Matic and more. Same-day, free quote.</t>
  </si>
  <si>
    <t xml:space="preserve">Ice Machine Repair in Parramatta</t>
  </si>
  <si>
    <t xml:space="preserve">12 keywords, KD 3-17, top "ice maker repair" 260 (KD 17) and "ice machine repair" 210 (KD 6). Live site mentions ice machines but has no page. Include brand sections (Ice-O-Matic, Hoshizaki, Scotsman).</t>
  </si>
  <si>
    <t xml:space="preserve">jdrgrp.com.au /commercial-ice-machines/ (pos 1-6), sra.net.au ice-machine page</t>
  </si>
  <si>
    <t xml:space="preserve">SEAL</t>
  </si>
  <si>
    <t xml:space="preserve">Fridge Door Seal Replacement</t>
  </si>
  <si>
    <t xml:space="preserve">/services/fridge-door-seal-replacement</t>
  </si>
  <si>
    <t xml:space="preserve">fridge door seal</t>
  </si>
  <si>
    <t xml:space="preserve">Fridge Door Seal Replacement Parramatta | Fast Fit</t>
  </si>
  <si>
    <t xml:space="preserve">Fridge and freezer door seal replacement in Parramatta. Stops warm air leaks and cuts power bills. Same-day fit, free quote.</t>
  </si>
  <si>
    <t xml:space="preserve">Fridge Door Seal Replacement in Parramatta</t>
  </si>
  <si>
    <t xml:space="preserve">Largest volume cluster found: 23 keywords, "seal for refrigerator" 1,300, "fridge seals" 1,000, "fridge seal" 880 - all KD 6-17. Many searchers want to buy a part (DIY) - use "we supply and fit" angle, show price/time, link to fridge-repair-cost.</t>
  </si>
  <si>
    <t xml:space="preserve">No Sydney service competitor has a dedicated page found in SERP sampling - real gap</t>
  </si>
  <si>
    <t xml:space="preserve">COMPRESSOR</t>
  </si>
  <si>
    <t xml:space="preserve">Fridge Compressor Repair &amp; Replacement</t>
  </si>
  <si>
    <t xml:space="preserve">/services/fridge-compressor-repair</t>
  </si>
  <si>
    <t xml:space="preserve">refrigerator compressor repair</t>
  </si>
  <si>
    <t xml:space="preserve">Fridge Compressor Repair Parramatta | Replacement</t>
  </si>
  <si>
    <t xml:space="preserve">Fridge compressor repair and replacement in Parramatta. Fault testing, repair-or-replace advice, 1-year warranty. Free quote.</t>
  </si>
  <si>
    <t xml:space="preserve">Fridge Compressor Repair &amp; Replacement in Parramatta</t>
  </si>
  <si>
    <t xml:space="preserve">Live site mentions compressor repair only as anchor. 1 measured keyword (260, KD 11) but strong commercial value. Add repair-vs-replace cost table.</t>
  </si>
  <si>
    <t xml:space="preserve">thefridgeguy.com.au (pos 5 for refrigerator compressor repair)</t>
  </si>
  <si>
    <t xml:space="preserve">BAR-WINE</t>
  </si>
  <si>
    <t xml:space="preserve">Bar, Wine &amp; Mini Fridge Repair</t>
  </si>
  <si>
    <t xml:space="preserve">/services/bar-wine-fridge-repair</t>
  </si>
  <si>
    <t xml:space="preserve">bar fridge repairs</t>
  </si>
  <si>
    <t xml:space="preserve">Bar, Wine &amp; Mini Fridge Repair Parramatta</t>
  </si>
  <si>
    <t xml:space="preserve">Bar fridge, wine cooler and mini fridge repair in Parramatta. Fast diagnosis, same-day visits, free quote.</t>
  </si>
  <si>
    <t xml:space="preserve">Bar, Wine &amp; Mini Fridge Repair in Parramatta</t>
  </si>
  <si>
    <t xml:space="preserve">4 keywords, 50-70 vol each, KD 8-11. Combined into one page because each alone is too small.</t>
  </si>
  <si>
    <t xml:space="preserve">fridgerepairs.com.au (pos 1 for wine fridge repairs)</t>
  </si>
  <si>
    <t xml:space="preserve">BR-SAMSUNG</t>
  </si>
  <si>
    <t xml:space="preserve">Samsung Fridge Repair</t>
  </si>
  <si>
    <t xml:space="preserve">/brands/samsung-fridge-repair</t>
  </si>
  <si>
    <t xml:space="preserve">samsung fridge repair</t>
  </si>
  <si>
    <t xml:space="preserve">Samsung Fridge Repair Parramatta | Same-Day Service</t>
  </si>
  <si>
    <t xml:space="preserve">Samsung fridge repair in Parramatta: not cooling, ice build-up, error codes and compressor faults. Same-day service, 1-year warranty.</t>
  </si>
  <si>
    <t xml:space="preserve">Samsung Fridge Repair in Parramatta</t>
  </si>
  <si>
    <t xml:space="preserve">7 keywords, "samsung fridge repair" 1,300 (KD 13) + "samsung fridge repairs" 1,000 (KD 17). Add common faults and error codes (22E, 33E, 5E) section.</t>
  </si>
  <si>
    <t xml:space="preserve">sydneyfridgerepair.com.au /brands/samsung-fridge-repair/, thefridgeguy.com.au /samsung-fridge-repair/</t>
  </si>
  <si>
    <t xml:space="preserve">BR-LG</t>
  </si>
  <si>
    <t xml:space="preserve">LG Fridge Repair</t>
  </si>
  <si>
    <t xml:space="preserve">/brands/lg-fridge-repair</t>
  </si>
  <si>
    <t xml:space="preserve">lg freezer repair</t>
  </si>
  <si>
    <t xml:space="preserve">LG Fridge Repair Parramatta | Linear Compressor Fixes</t>
  </si>
  <si>
    <t xml:space="preserve">LG fridge and freezer repair in Parramatta: linear compressor, ER FF / ER RF codes, ice maker and cooling faults. Same-day service.</t>
  </si>
  <si>
    <t xml:space="preserve">LG Fridge Repair in Parramatta</t>
  </si>
  <si>
    <t xml:space="preserve">11 keywords, top "lg fridge repair" 1,000 and "lg freezer repair" 1,300 (KD 15-16). Near-me variants are transactional (260 each). Many LG searches are washing-machine - ignore those.</t>
  </si>
  <si>
    <t xml:space="preserve">sydneyfridgerepair.com.au /brands/lg-fridge-repair/ (pos 36-37 only - beatable)</t>
  </si>
  <si>
    <t xml:space="preserve">BR-WESTINGHOUSE</t>
  </si>
  <si>
    <t xml:space="preserve">Westinghouse Fridge Repair</t>
  </si>
  <si>
    <t xml:space="preserve">/brands/westinghouse-fridge-repair</t>
  </si>
  <si>
    <t xml:space="preserve">westinghouse fridge repair</t>
  </si>
  <si>
    <t xml:space="preserve">Westinghouse Fridge Repair Parramatta | Same Day</t>
  </si>
  <si>
    <t xml:space="preserve">Westinghouse fridge and freezer repair in Parramatta: not cooling, door seals, thermostat and fan faults. Same-day service, warranty.</t>
  </si>
  <si>
    <t xml:space="preserve">Westinghouse Fridge Repair in Parramatta</t>
  </si>
  <si>
    <t xml:space="preserve">9 keywords, 720 vol on three variants, KD 12-14. Best Australian-brand cluster found. Cover fridge AND freezer (westinghouse freezer repairs 720).</t>
  </si>
  <si>
    <t xml:space="preserve">fastfridgerepairs.com.au /westinghouse-fridge-repairs/ (pos 21-23), fridgerepairs.com.au (pos 6)</t>
  </si>
  <si>
    <t xml:space="preserve">BR-FP</t>
  </si>
  <si>
    <t xml:space="preserve">Fisher &amp; Paykel Fridge Repair</t>
  </si>
  <si>
    <t xml:space="preserve">/brands/fisher-paykel-fridge-repair</t>
  </si>
  <si>
    <t xml:space="preserve">fisher and paykel fridge repairs</t>
  </si>
  <si>
    <t xml:space="preserve">Fisher &amp; Paykel Fridge Repair Parramatta</t>
  </si>
  <si>
    <t xml:space="preserve">Fisher &amp; Paykel fridge repair in Parramatta: ActiveSmart, beeping alarms, ice and water faults. Same-day service, free quote.</t>
  </si>
  <si>
    <t xml:space="preserve">Fisher &amp; Paykel Fridge Repair in Parramatta</t>
  </si>
  <si>
    <t xml:space="preserve">10 keywords, "fisher and paykel fridge repairs" 1,000 (KD 12), "fisher paykel refrigerator repair" 720 (KD 11). Write both "and" and "&amp;" forms.</t>
  </si>
  <si>
    <t xml:space="preserve">fastfridgerepairs.com.au (pos 8-9 with a blog post)</t>
  </si>
  <si>
    <t xml:space="preserve">BR-ELECTROLUX</t>
  </si>
  <si>
    <t xml:space="preserve">Electrolux Fridge Repair</t>
  </si>
  <si>
    <t xml:space="preserve">/brands/electrolux-fridge-repair</t>
  </si>
  <si>
    <t xml:space="preserve">electrolux refrigerator repair</t>
  </si>
  <si>
    <t xml:space="preserve">Electrolux Fridge Repair Parramatta | Same Day</t>
  </si>
  <si>
    <t xml:space="preserve">Electrolux fridge repair in Parramatta: not cooling, ice build-up and thermostat faults. Same-day service and 1-year warranty.</t>
  </si>
  <si>
    <t xml:space="preserve">Electrolux Fridge Repair in Parramatta</t>
  </si>
  <si>
    <t xml:space="preserve">4 keywords, 320 + 320 + 110 vol, KD 11-15. Electrolux washing/dryer searches are in the data - ignore them.</t>
  </si>
  <si>
    <t xml:space="preserve">No dedicated Sydney competitor page seen in SERP sampling</t>
  </si>
  <si>
    <t xml:space="preserve">BR-HAIER</t>
  </si>
  <si>
    <t xml:space="preserve">Haier Fridge Repair</t>
  </si>
  <si>
    <t xml:space="preserve">/brands/haier-fridge-repair</t>
  </si>
  <si>
    <t xml:space="preserve">haier refrigerator repair</t>
  </si>
  <si>
    <t xml:space="preserve">Haier Fridge Repair Parramatta | Same-Day Service</t>
  </si>
  <si>
    <t xml:space="preserve">Haier fridge and freezer repair in Parramatta. Cooling faults, sealed-system and board repairs. Same-day service, free quote.</t>
  </si>
  <si>
    <t xml:space="preserve">Haier Fridge Repair in Parramatta</t>
  </si>
  <si>
    <t xml:space="preserve">3 keywords: 390 + 210 + 50, KD 12-16.</t>
  </si>
  <si>
    <t xml:space="preserve">No dedicated Sydney competitor page seen</t>
  </si>
  <si>
    <t xml:space="preserve">BR-HISENSE</t>
  </si>
  <si>
    <t xml:space="preserve">Hisense Fridge Repair</t>
  </si>
  <si>
    <t xml:space="preserve">/brands/hisense-fridge-repair</t>
  </si>
  <si>
    <t xml:space="preserve">hisense fridge repair</t>
  </si>
  <si>
    <t xml:space="preserve">Hisense Fridge Repair Parramatta | Fridge &amp; Freezer</t>
  </si>
  <si>
    <t xml:space="preserve">Hisense fridge and freezer repair in Parramatta. Not cooling, frost build-up, noisy compressors. Same-day service, free quote.</t>
  </si>
  <si>
    <t xml:space="preserve">Hisense Fridge Repair in Parramatta</t>
  </si>
  <si>
    <t xml:space="preserve">3 keywords at 70-90 vol, KD 5-10 - low volume but low KD and low competition. Quick, short page.</t>
  </si>
  <si>
    <t xml:space="preserve">fastfridgerepairs.com.au /hisense-fridge-repairs-sydney/ (pos 4-8)</t>
  </si>
  <si>
    <t xml:space="preserve">BR-MIELE</t>
  </si>
  <si>
    <t xml:space="preserve">Wk 7-8</t>
  </si>
  <si>
    <t xml:space="preserve">Miele Fridge Repair</t>
  </si>
  <si>
    <t xml:space="preserve">/brands/miele-fridge-repair</t>
  </si>
  <si>
    <t xml:space="preserve">miele fridge repair</t>
  </si>
  <si>
    <t xml:space="preserve">Miele Fridge Repair Parramatta | Premium Appliance Care</t>
  </si>
  <si>
    <t xml:space="preserve">Miele fridge and freezer repair in Parramatta. Built-in and freestanding. Careful diagnosis, same-day visits where available.</t>
  </si>
  <si>
    <t xml:space="preserve">Miele Fridge Repair in Parramatta</t>
  </si>
  <si>
    <t xml:space="preserve">1 keyword, 480 vol, KD 14. Build only if you service Miele - most Miele searches are dishwashers/washers.</t>
  </si>
  <si>
    <t xml:space="preserve">None seen</t>
  </si>
  <si>
    <t xml:space="preserve">AREAS</t>
  </si>
  <si>
    <t xml:space="preserve">Areas We Service (hub)</t>
  </si>
  <si>
    <t xml:space="preserve">/areas</t>
  </si>
  <si>
    <t xml:space="preserve">Areas We Service | Fridge Repair Parramatta &amp; Western Sydney</t>
  </si>
  <si>
    <t xml:space="preserve">Fridge repair across Parramatta, Blacktown, Hills District, Granville, Merrylands, Westmead and 30+ suburbs. Same-day service.</t>
  </si>
  <si>
    <t xml:space="preserve">Fridge Repair Areas We Service Around Parramatta</t>
  </si>
  <si>
    <t xml:space="preserve">Live site only has a #suburbs anchor listing 30 suburbs. Create a real hub page with a suburb list and link to LOC pages. Semrush shows almost no measurable volume for individual small suburbs, so do not build 20+ thin suburb pages (see Old Plan Review).</t>
  </si>
  <si>
    <t xml:space="preserve">fastfridgerepairs.com.au (suburb pages: Parramatta, Castle Hill, Penrith, Richmond)</t>
  </si>
  <si>
    <t xml:space="preserve">LOC-BLACKTOWN</t>
  </si>
  <si>
    <t xml:space="preserve">Fridge Repair Blacktown</t>
  </si>
  <si>
    <t xml:space="preserve">/areas/fridge-repair-blacktown</t>
  </si>
  <si>
    <t xml:space="preserve">fridge repairs blacktown</t>
  </si>
  <si>
    <t xml:space="preserve">Fridge Repairs Blacktown | Same-Day Technicians</t>
  </si>
  <si>
    <t xml:space="preserve">Fridge and appliance repairs in Blacktown. Same-day technicians from Parramatta, free quote, 1-year warranty. Book online.</t>
  </si>
  <si>
    <t xml:space="preserve">Fridge Repairs in Blacktown</t>
  </si>
  <si>
    <t xml:space="preserve">2 keywords: "fridge repairs blacktown" 110 (KD 6), "appliance repairs blacktown" 70 (KD 8). Site already lists Blacktown as served.</t>
  </si>
  <si>
    <t xml:space="preserve">None seen in Semrush SERP sample</t>
  </si>
  <si>
    <t xml:space="preserve">LOC-HILLS</t>
  </si>
  <si>
    <t xml:space="preserve">Fridge Repair Hills District</t>
  </si>
  <si>
    <t xml:space="preserve">/areas/fridge-repair-hills-district</t>
  </si>
  <si>
    <t xml:space="preserve">appliance repairs hills district</t>
  </si>
  <si>
    <t xml:space="preserve">Fridge Repairs Hills District | Castle Hill &amp; Baulkham Hills</t>
  </si>
  <si>
    <t xml:space="preserve">Fridge repairs across the Hills District: Castle Hill, Baulkham Hills, Kellyville, Winston Hills. Same-day service, free quote.</t>
  </si>
  <si>
    <t xml:space="preserve">Fridge Repairs in the Hills District</t>
  </si>
  <si>
    <t xml:space="preserve">4 keywords: "appliance repairs hills district" 260 (KD 5), castle hill 70+70, baulkham hills 70. One regional page instead of separate suburb pages.</t>
  </si>
  <si>
    <t xml:space="preserve">fastfridgerepairs.com.au /fridge-repairs-castle-hill/ (pos 3-5), commercialfridgerepairs.com.au (pos 5)</t>
  </si>
  <si>
    <t xml:space="preserve">EXP-WSYD</t>
  </si>
  <si>
    <t xml:space="preserve">Western Sydney (Penrith, Smithfield, St Marys...)</t>
  </si>
  <si>
    <t xml:space="preserve">/areas/fridge-repair-western-sydney</t>
  </si>
  <si>
    <t xml:space="preserve">Create new (conditional)</t>
  </si>
  <si>
    <t xml:space="preserve">fridge repairs smithfield</t>
  </si>
  <si>
    <t xml:space="preserve">Fridge Repairs Western Sydney | Penrith &amp; Smithfield</t>
  </si>
  <si>
    <t xml:space="preserve">Fridge repairs across Western Sydney including Penrith, Smithfield, St Marys, Bankstown. Same-day service, free quote.</t>
  </si>
  <si>
    <t xml:space="preserve">Fridge Repairs in Western Sydney</t>
  </si>
  <si>
    <t xml:space="preserve">CONDITIONAL - only build if you really travel to these suburbs (not in your current 30-suburb list). 11 keywords, 50-170 vol each, KD 4-14: fastfridgerepairs.com.au already ranks #1 for Penrith.</t>
  </si>
  <si>
    <t xml:space="preserve">fastfridgerepairs.com.au /fridge-repairs-penrith/ (pos 1)</t>
  </si>
  <si>
    <t xml:space="preserve">B-LEAK</t>
  </si>
  <si>
    <t xml:space="preserve">Blog: Why Is My Fridge Leaking Water?</t>
  </si>
  <si>
    <t xml:space="preserve">/blog/why-is-my-fridge-leaking-water</t>
  </si>
  <si>
    <t xml:space="preserve">leaking water from fridge</t>
  </si>
  <si>
    <t xml:space="preserve">Why Is My Fridge Leaking Water? 6 Causes &amp; Fixes</t>
  </si>
  <si>
    <t xml:space="preserve">Water leaking from your fridge? 6 common causes (drain blockage, door seal, water line) and when to call a technician in Parramatta.</t>
  </si>
  <si>
    <t xml:space="preserve">Why Is My Fridge Leaking Water? 6 Causes and Fixes</t>
  </si>
  <si>
    <t xml:space="preserve">9 keywords, 260 top vol, KD 12-19. thefridgeguy.com.au ranks #1 with a single post - same format can compete. Link to a leaking-water repair CTA and fridge-repair-cost.</t>
  </si>
  <si>
    <t xml:space="preserve">thefridgeguy.com.au /why-is-my-fridge-leaking-water/ (pos 1)</t>
  </si>
  <si>
    <t xml:space="preserve">B-FREEZER</t>
  </si>
  <si>
    <t xml:space="preserve">Blog: Freezer Not Freezing</t>
  </si>
  <si>
    <t xml:space="preserve">/blog/freezer-not-freezing</t>
  </si>
  <si>
    <t xml:space="preserve">freezer not freezing</t>
  </si>
  <si>
    <t xml:space="preserve">Freezer Not Freezing? Causes &amp; Fixes | Parramatta</t>
  </si>
  <si>
    <t xml:space="preserve">Freezer not freezing properly? Common causes - door seal, defrost heater, regas - and how to fix them or when to call a technician.</t>
  </si>
  <si>
    <t xml:space="preserve">Freezer Not Freezing? Causes and Fixes</t>
  </si>
  <si>
    <t xml:space="preserve">2 keywords, 110 + 50. Small but it feeds FREEZER and REGAS internal links.</t>
  </si>
  <si>
    <t xml:space="preserve">sydneyfridgerepair.com.au</t>
  </si>
  <si>
    <t xml:space="preserve">B-NOISE</t>
  </si>
  <si>
    <t xml:space="preserve">Blog: Fridge Making Noise</t>
  </si>
  <si>
    <t xml:space="preserve">/blog/fridge-making-noise</t>
  </si>
  <si>
    <t xml:space="preserve">fridge making noise</t>
  </si>
  <si>
    <t xml:space="preserve">Fridge Making Noise? Clicking, Buzzing &amp; Humming Causes</t>
  </si>
  <si>
    <t xml:space="preserve">Fridge making a clicking, buzzing or humming noise? Find out what each sound means and when it needs a repair in Parramatta.</t>
  </si>
  <si>
    <t xml:space="preserve">Fridge Making Noise? What Each Sound Means</t>
  </si>
  <si>
    <t xml:space="preserve">4 keywords, 50-90 vol. Low volume - write after higher priority pages.</t>
  </si>
  <si>
    <t xml:space="preserve">None specific</t>
  </si>
  <si>
    <t xml:space="preserve">Keyword</t>
  </si>
  <si>
    <t xml:space="preserve">Search intent (Semrush)</t>
  </si>
  <si>
    <t xml:space="preserve">Volume (AU/mo)</t>
  </si>
  <si>
    <t xml:space="preserve">KD %</t>
  </si>
  <si>
    <t xml:space="preserve">Target URL</t>
  </si>
  <si>
    <t xml:space="preserve">Page action</t>
  </si>
  <si>
    <t xml:space="preserve">Role on page</t>
  </si>
  <si>
    <t xml:space="preserve">Money / Support</t>
  </si>
  <si>
    <t xml:space="preserve">Transactional</t>
  </si>
  <si>
    <t xml:space="preserve">fridge repairs</t>
  </si>
  <si>
    <t xml:space="preserve">Commercial</t>
  </si>
  <si>
    <t xml:space="preserve">refrigerator repairs near me</t>
  </si>
  <si>
    <t xml:space="preserve">fridge repair</t>
  </si>
  <si>
    <t xml:space="preserve">refrigerator repair near me</t>
  </si>
  <si>
    <t xml:space="preserve">repair refrigerator service</t>
  </si>
  <si>
    <t xml:space="preserve">fridge service and repair</t>
  </si>
  <si>
    <t xml:space="preserve">refrigerator repair service</t>
  </si>
  <si>
    <t xml:space="preserve">refrigerator mechanic near me</t>
  </si>
  <si>
    <t xml:space="preserve">fridge technician near me</t>
  </si>
  <si>
    <t xml:space="preserve">fridge mechanic</t>
  </si>
  <si>
    <t xml:space="preserve">repair fridges</t>
  </si>
  <si>
    <t xml:space="preserve">technician for fridge</t>
  </si>
  <si>
    <t xml:space="preserve">fridge repair technician</t>
  </si>
  <si>
    <t xml:space="preserve">refrigerator refrigerator repair</t>
  </si>
  <si>
    <t xml:space="preserve">fridge repair service</t>
  </si>
  <si>
    <t xml:space="preserve">fridge repairs parramatta</t>
  </si>
  <si>
    <t xml:space="preserve">fridge repair and services</t>
  </si>
  <si>
    <t xml:space="preserve">fridge repair in sydney</t>
  </si>
  <si>
    <t xml:space="preserve">refrigerator repairing near me</t>
  </si>
  <si>
    <t xml:space="preserve">fixing fridges</t>
  </si>
  <si>
    <t xml:space="preserve">Informational</t>
  </si>
  <si>
    <t xml:space="preserve">fridge repairing services</t>
  </si>
  <si>
    <t xml:space="preserve">fix fridge near me</t>
  </si>
  <si>
    <t xml:space="preserve">appliance repairs parramatta</t>
  </si>
  <si>
    <t xml:space="preserve">refrigerator repair sydney</t>
  </si>
  <si>
    <t xml:space="preserve">refrigeration service</t>
  </si>
  <si>
    <t xml:space="preserve">refrigerator service</t>
  </si>
  <si>
    <t xml:space="preserve">refrigerator maintenance</t>
  </si>
  <si>
    <t xml:space="preserve">refrigeration servicing</t>
  </si>
  <si>
    <t xml:space="preserve">domestic fridge repairs</t>
  </si>
  <si>
    <t xml:space="preserve">domestic refrigeration repairs</t>
  </si>
  <si>
    <t xml:space="preserve">technician for refrigerator</t>
  </si>
  <si>
    <t xml:space="preserve">refrigerator regassing</t>
  </si>
  <si>
    <t xml:space="preserve">regassing freezer</t>
  </si>
  <si>
    <t xml:space="preserve">regas freezer</t>
  </si>
  <si>
    <t xml:space="preserve">refrigerator regas</t>
  </si>
  <si>
    <t xml:space="preserve">regas refrigerator</t>
  </si>
  <si>
    <t xml:space="preserve">regas fridge</t>
  </si>
  <si>
    <t xml:space="preserve">regassing fridge</t>
  </si>
  <si>
    <t xml:space="preserve">cost to regas fridge</t>
  </si>
  <si>
    <t xml:space="preserve">fridge regassing</t>
  </si>
  <si>
    <t xml:space="preserve">how do you regas a fridge</t>
  </si>
  <si>
    <t xml:space="preserve">how much to regas a fridge</t>
  </si>
  <si>
    <t xml:space="preserve">fridge repair price</t>
  </si>
  <si>
    <t xml:space="preserve">refrigerator repair cost</t>
  </si>
  <si>
    <t xml:space="preserve">refrigerator repair prices</t>
  </si>
  <si>
    <t xml:space="preserve">cost to fix refrigerator</t>
  </si>
  <si>
    <t xml:space="preserve">cost to repair a fridge</t>
  </si>
  <si>
    <t xml:space="preserve">cost to repair fridge</t>
  </si>
  <si>
    <t xml:space="preserve">fridge repairs cost</t>
  </si>
  <si>
    <t xml:space="preserve">commercial refrigeration breakdown service</t>
  </si>
  <si>
    <t xml:space="preserve">emergency fridge repair</t>
  </si>
  <si>
    <t xml:space="preserve">24 hour commercial refrigeration repair</t>
  </si>
  <si>
    <t xml:space="preserve">urgent fridge repair near me</t>
  </si>
  <si>
    <t xml:space="preserve">emergency refrigeration repairs</t>
  </si>
  <si>
    <t xml:space="preserve">amana fridge repairs</t>
  </si>
  <si>
    <t xml:space="preserve">general electric fridge repairs</t>
  </si>
  <si>
    <t xml:space="preserve">jenn air fridge repairs</t>
  </si>
  <si>
    <t xml:space="preserve">chiq fridge repair</t>
  </si>
  <si>
    <t xml:space="preserve">bosch fridge freezer repairs</t>
  </si>
  <si>
    <t xml:space="preserve">fridge not cold</t>
  </si>
  <si>
    <t xml:space="preserve">why is my fridge not cold</t>
  </si>
  <si>
    <t xml:space="preserve">why is my fridge not cooling</t>
  </si>
  <si>
    <t xml:space="preserve">fridge not cold enough</t>
  </si>
  <si>
    <t xml:space="preserve">why is my fridge not getting cold</t>
  </si>
  <si>
    <t xml:space="preserve">why is my refrigerator not cooling</t>
  </si>
  <si>
    <t xml:space="preserve">my fridge not cold</t>
  </si>
  <si>
    <t xml:space="preserve">fridge cooling</t>
  </si>
  <si>
    <t xml:space="preserve">refrigerator cooling</t>
  </si>
  <si>
    <t xml:space="preserve">Informational + Commercial</t>
  </si>
  <si>
    <t xml:space="preserve">how to fix refrigerator not cooling</t>
  </si>
  <si>
    <t xml:space="preserve">freezer repairs</t>
  </si>
  <si>
    <t xml:space="preserve">fridge freezer repairs</t>
  </si>
  <si>
    <t xml:space="preserve">refrigerator freezer repair</t>
  </si>
  <si>
    <t xml:space="preserve">repairs for fridge freezers</t>
  </si>
  <si>
    <t xml:space="preserve">refrigerator and freezer repair</t>
  </si>
  <si>
    <t xml:space="preserve">fridge freezer repair</t>
  </si>
  <si>
    <t xml:space="preserve">fridge freezer repairs near me</t>
  </si>
  <si>
    <t xml:space="preserve">fridge and freezer repair</t>
  </si>
  <si>
    <t xml:space="preserve">fridge and freezer repair near me</t>
  </si>
  <si>
    <t xml:space="preserve">commercial fridge repair</t>
  </si>
  <si>
    <t xml:space="preserve">commercial refrigeration repairs</t>
  </si>
  <si>
    <t xml:space="preserve">commercial fridge repairs</t>
  </si>
  <si>
    <t xml:space="preserve">repair commercial fridge</t>
  </si>
  <si>
    <t xml:space="preserve">commercial refrigeration services</t>
  </si>
  <si>
    <t xml:space="preserve">commercial refrigeration maintenance</t>
  </si>
  <si>
    <t xml:space="preserve">refrigerator commercial repair</t>
  </si>
  <si>
    <t xml:space="preserve">commercial fridge service</t>
  </si>
  <si>
    <t xml:space="preserve">commercial refrigeration company</t>
  </si>
  <si>
    <t xml:space="preserve">commercial fridge repair near me</t>
  </si>
  <si>
    <t xml:space="preserve">commercial refrigeration repair near me</t>
  </si>
  <si>
    <t xml:space="preserve">commercial refrigeration repair service</t>
  </si>
  <si>
    <t xml:space="preserve">refrigeration maintenance sydney</t>
  </si>
  <si>
    <t xml:space="preserve">refrigeration technicians sydney</t>
  </si>
  <si>
    <t xml:space="preserve">commercial refrigeration mechanic</t>
  </si>
  <si>
    <t xml:space="preserve">commercial refrigeration solutions sydney</t>
  </si>
  <si>
    <t xml:space="preserve">refrigeration maintenance</t>
  </si>
  <si>
    <t xml:space="preserve">refrigeration maintenance services</t>
  </si>
  <si>
    <t xml:space="preserve">commercial refrigerator repair</t>
  </si>
  <si>
    <t xml:space="preserve">commercial refrigeration repair sydney</t>
  </si>
  <si>
    <t xml:space="preserve">refrigeration repairs sydney</t>
  </si>
  <si>
    <t xml:space="preserve">service fridge commercial</t>
  </si>
  <si>
    <t xml:space="preserve">commercial fridge maintenance</t>
  </si>
  <si>
    <t xml:space="preserve">commercial refrigeration service near me</t>
  </si>
  <si>
    <t xml:space="preserve">compressor service sydney</t>
  </si>
  <si>
    <t xml:space="preserve">display fridge repair</t>
  </si>
  <si>
    <t xml:space="preserve">commercial freezer service</t>
  </si>
  <si>
    <t xml:space="preserve">commercial freezer repairs</t>
  </si>
  <si>
    <t xml:space="preserve">commercial freezer repair near me</t>
  </si>
  <si>
    <t xml:space="preserve">freezer repair commercial</t>
  </si>
  <si>
    <t xml:space="preserve">commercial freezer repair service near me</t>
  </si>
  <si>
    <t xml:space="preserve">coolroom repairs</t>
  </si>
  <si>
    <t xml:space="preserve">coolroom repairs near me</t>
  </si>
  <si>
    <t xml:space="preserve">cool room repair</t>
  </si>
  <si>
    <t xml:space="preserve">coolrooms installation</t>
  </si>
  <si>
    <t xml:space="preserve">coolroom repairs sydney</t>
  </si>
  <si>
    <t xml:space="preserve">commercial cool room repairs</t>
  </si>
  <si>
    <t xml:space="preserve">commercial cold room repairs</t>
  </si>
  <si>
    <t xml:space="preserve">coolroom services</t>
  </si>
  <si>
    <t xml:space="preserve">cold room repair near me</t>
  </si>
  <si>
    <t xml:space="preserve">cool room maintenance</t>
  </si>
  <si>
    <t xml:space="preserve">freezer room repairs</t>
  </si>
  <si>
    <t xml:space="preserve">coolroom repair</t>
  </si>
  <si>
    <t xml:space="preserve">cool room repair near me</t>
  </si>
  <si>
    <t xml:space="preserve">cool room repairs sydney</t>
  </si>
  <si>
    <t xml:space="preserve">ice maker repair</t>
  </si>
  <si>
    <t xml:space="preserve">ice machine repairs</t>
  </si>
  <si>
    <t xml:space="preserve">commercial ice maker servicing</t>
  </si>
  <si>
    <t xml:space="preserve">ice machine service</t>
  </si>
  <si>
    <t xml:space="preserve">ice machine repair service</t>
  </si>
  <si>
    <t xml:space="preserve">ice machine technician</t>
  </si>
  <si>
    <t xml:space="preserve">ice-o-matic ice machine repair</t>
  </si>
  <si>
    <t xml:space="preserve">commercial ice machine service near me</t>
  </si>
  <si>
    <t xml:space="preserve">ice o matic repair</t>
  </si>
  <si>
    <t xml:space="preserve">icematic ice machine repair</t>
  </si>
  <si>
    <t xml:space="preserve">restaurant ice machine repair near me</t>
  </si>
  <si>
    <t xml:space="preserve">seal for refrigerator</t>
  </si>
  <si>
    <t xml:space="preserve">seal for a fridge</t>
  </si>
  <si>
    <t xml:space="preserve">fridge seals</t>
  </si>
  <si>
    <t xml:space="preserve">fridge seal</t>
  </si>
  <si>
    <t xml:space="preserve">door fridge seals</t>
  </si>
  <si>
    <t xml:space="preserve">fridge seals replacement</t>
  </si>
  <si>
    <t xml:space="preserve">fridge gasket</t>
  </si>
  <si>
    <t xml:space="preserve">refrigerator door seal</t>
  </si>
  <si>
    <t xml:space="preserve">refrigerator door seals</t>
  </si>
  <si>
    <t xml:space="preserve">fridge door seals replacement</t>
  </si>
  <si>
    <t xml:space="preserve">fridge door seals</t>
  </si>
  <si>
    <t xml:space="preserve">fridge door gasket</t>
  </si>
  <si>
    <t xml:space="preserve">refrigerator door gasket</t>
  </si>
  <si>
    <t xml:space="preserve">freezer door seal</t>
  </si>
  <si>
    <t xml:space="preserve">fridge and freezer door seals</t>
  </si>
  <si>
    <t xml:space="preserve">replace refrigerator seal</t>
  </si>
  <si>
    <t xml:space="preserve">where to buy fridge seals</t>
  </si>
  <si>
    <t xml:space="preserve">freezer seal repair</t>
  </si>
  <si>
    <t xml:space="preserve">fridge door repair</t>
  </si>
  <si>
    <t xml:space="preserve">fridge seal replacement cost</t>
  </si>
  <si>
    <t xml:space="preserve">commercial fridge seal replacement service</t>
  </si>
  <si>
    <t xml:space="preserve">cost to replace fridge seals</t>
  </si>
  <si>
    <t xml:space="preserve">wine fridge repairs</t>
  </si>
  <si>
    <t xml:space="preserve">mini fridge repair</t>
  </si>
  <si>
    <t xml:space="preserve">mini refrigerator repair</t>
  </si>
  <si>
    <t xml:space="preserve">samsung fridge repairs</t>
  </si>
  <si>
    <t xml:space="preserve">samsung refrigerator repair</t>
  </si>
  <si>
    <t xml:space="preserve">samsung fridge repair near me</t>
  </si>
  <si>
    <t xml:space="preserve">samsung freezer repair</t>
  </si>
  <si>
    <t xml:space="preserve">samsung fridge maintenance</t>
  </si>
  <si>
    <t xml:space="preserve">samsung refrigerator repairs sydney</t>
  </si>
  <si>
    <t xml:space="preserve">Navigational</t>
  </si>
  <si>
    <t xml:space="preserve">lg fridge repair</t>
  </si>
  <si>
    <t xml:space="preserve">lg refrigerator repair</t>
  </si>
  <si>
    <t xml:space="preserve">lg fridge repairs</t>
  </si>
  <si>
    <t xml:space="preserve">lg fridge repairs near me</t>
  </si>
  <si>
    <t xml:space="preserve">lg fridge repair near me</t>
  </si>
  <si>
    <t xml:space="preserve">lg refrigerator repair near me</t>
  </si>
  <si>
    <t xml:space="preserve">lg fridge service</t>
  </si>
  <si>
    <t xml:space="preserve">lg refrigerator service</t>
  </si>
  <si>
    <t xml:space="preserve">lg fridge repair sydney</t>
  </si>
  <si>
    <t xml:space="preserve">lg fridge repairs sydney</t>
  </si>
  <si>
    <t xml:space="preserve">westinghouse fridge repairs</t>
  </si>
  <si>
    <t xml:space="preserve">westinghouse freezer repairs</t>
  </si>
  <si>
    <t xml:space="preserve">westinghouse refrigerator repairs</t>
  </si>
  <si>
    <t xml:space="preserve">westinghouse fridge repairs near me</t>
  </si>
  <si>
    <t xml:space="preserve">westinghouse fridge service</t>
  </si>
  <si>
    <t xml:space="preserve">westinghouse refrigerator repair</t>
  </si>
  <si>
    <t xml:space="preserve">westinghouse refrigerator service</t>
  </si>
  <si>
    <t xml:space="preserve">westinghouse fridge repairs sydney</t>
  </si>
  <si>
    <t xml:space="preserve">fisher paykel refrigerator repair</t>
  </si>
  <si>
    <t xml:space="preserve">fisher and paykel refrigerator repair</t>
  </si>
  <si>
    <t xml:space="preserve">fisher &amp; paykel fridge repairs</t>
  </si>
  <si>
    <t xml:space="preserve">fisher and paykel fridge repair</t>
  </si>
  <si>
    <t xml:space="preserve">fisher paykel fridge repair</t>
  </si>
  <si>
    <t xml:space="preserve">fisher paykel fridge repairs</t>
  </si>
  <si>
    <t xml:space="preserve">fisher and paykel fridge service</t>
  </si>
  <si>
    <t xml:space="preserve">fisher paykel fridge service</t>
  </si>
  <si>
    <t xml:space="preserve">fisher and paykel fridge repairs near me</t>
  </si>
  <si>
    <t xml:space="preserve">electrolux fridge repairs</t>
  </si>
  <si>
    <t xml:space="preserve">electrolux refrigerator repair near me</t>
  </si>
  <si>
    <t xml:space="preserve">electrolux fridge repair</t>
  </si>
  <si>
    <t xml:space="preserve">haier fridge repairs</t>
  </si>
  <si>
    <t xml:space="preserve">haier refrigerator repairs</t>
  </si>
  <si>
    <t xml:space="preserve">hisense freezer repairs</t>
  </si>
  <si>
    <t xml:space="preserve">hisense fridge freezer repairs</t>
  </si>
  <si>
    <t xml:space="preserve">appliance repairs blacktown</t>
  </si>
  <si>
    <t xml:space="preserve">fridge repairs castle hill</t>
  </si>
  <si>
    <t xml:space="preserve">fridge repair castle hill</t>
  </si>
  <si>
    <t xml:space="preserve">appliance repairs baulkham hills</t>
  </si>
  <si>
    <t xml:space="preserve">fridge repairs penrith</t>
  </si>
  <si>
    <t xml:space="preserve">refrigerator repairs penrith</t>
  </si>
  <si>
    <t xml:space="preserve">fridge repair inner west</t>
  </si>
  <si>
    <t xml:space="preserve">fridge repair penrith</t>
  </si>
  <si>
    <t xml:space="preserve">fridge repair rouse hill</t>
  </si>
  <si>
    <t xml:space="preserve">fridge repairs st marys</t>
  </si>
  <si>
    <t xml:space="preserve">fridge repairs bankstown</t>
  </si>
  <si>
    <t xml:space="preserve">fridge repairs bossley park</t>
  </si>
  <si>
    <t xml:space="preserve">fridge repairs wetherill park</t>
  </si>
  <si>
    <t xml:space="preserve">fridge repairs horsley park</t>
  </si>
  <si>
    <t xml:space="preserve">refrigerator leaking water</t>
  </si>
  <si>
    <t xml:space="preserve">fridge leaking water from bottom</t>
  </si>
  <si>
    <t xml:space="preserve">refrigerator dripping water inside</t>
  </si>
  <si>
    <t xml:space="preserve">water leaking from fridge</t>
  </si>
  <si>
    <t xml:space="preserve">fridge leaking</t>
  </si>
  <si>
    <t xml:space="preserve">why is my fridge dripping water</t>
  </si>
  <si>
    <t xml:space="preserve">fridge water dripping</t>
  </si>
  <si>
    <t xml:space="preserve">why is water leaking from my refrigerator</t>
  </si>
  <si>
    <t xml:space="preserve">freezer is not freezing</t>
  </si>
  <si>
    <t xml:space="preserve">my fridge is making a weird noise</t>
  </si>
  <si>
    <t xml:space="preserve">humming noise from freezer</t>
  </si>
  <si>
    <t xml:space="preserve">noise in the fridge</t>
  </si>
  <si>
    <t xml:space="preserve">Source: Semrush Keyword Magic Tool + Organic Research, AU database, pulled 16 Oct 2026. Filter: KD 0-20, volume &gt;= 10 (most &gt;= 50). Volumes are Semrush estimates. Intent labels are Semrush's (a keyword can have two). "Support" = informational only (blog / FAQ content).</t>
  </si>
  <si>
    <t xml:space="preserve">#</t>
  </si>
  <si>
    <t xml:space="preserve">Competitor domain</t>
  </si>
  <si>
    <t xml:space="preserve">Focus / location (from SERP &amp; keywords)</t>
  </si>
  <si>
    <t xml:space="preserve">Authority Score (SERP table)</t>
  </si>
  <si>
    <t xml:space="preserve">Organic keywords</t>
  </si>
  <si>
    <t xml:space="preserve">Est. organic traffic / mo</t>
  </si>
  <si>
    <t xml:space="preserve">Where it beats you</t>
  </si>
  <si>
    <t xml:space="preserve">Pages worth studying</t>
  </si>
  <si>
    <t xml:space="preserve">Threat to you</t>
  </si>
  <si>
    <t xml:space="preserve">fastfridgerepairs.com.au</t>
  </si>
  <si>
    <t xml:space="preserve">Sydney - residential, suburb pages</t>
  </si>
  <si>
    <t xml:space="preserve">Dedicated suburb pages (Parramatta pos 2, Penrith pos 1, Castle Hill, Richmond), regas guide, Westinghouse/Hisense pages, coolroom page.</t>
  </si>
  <si>
    <t xml:space="preserve">/fridge-repairs-parramatta/, /fridge-gas-refill-sydney-guide/, /westinghouse-fridge-repairs/, /commercial-coolroom-repairs-sydney/</t>
  </si>
  <si>
    <t xml:space="preserve">HIGH - direct local rival</t>
  </si>
  <si>
    <t xml:space="preserve">Sydney - residential</t>
  </si>
  <si>
    <t xml:space="preserve">Homepage ranks #1 for "fridge repair near me" and "fix fridge near me"; brand pages (LG, Samsung, GE).</t>
  </si>
  <si>
    <t xml:space="preserve">/ (homepage), /brands/lg-fridge-repair/, /brands/samsung-fridge-repair/</t>
  </si>
  <si>
    <t xml:space="preserve">HIGH</t>
  </si>
  <si>
    <t xml:space="preserve">fridgerepairs.com.au</t>
  </si>
  <si>
    <t xml:space="preserve">Sydney - residential + refrigeration</t>
  </si>
  <si>
    <t xml:space="preserve">#1 for fridge repairs, freezer repair, refrigerator repair service, refigerator typos. Homepage-driven.</t>
  </si>
  <si>
    <t xml:space="preserve">/ (single homepage ranks for ~50 terms)</t>
  </si>
  <si>
    <t xml:space="preserve">jdrgrp.com.au</t>
  </si>
  <si>
    <t xml:space="preserve">Sydney - commercial refrigeration + HVAC + electrical</t>
  </si>
  <si>
    <t xml:space="preserve">Commercial pages rank for coolroom, ice machine, commercial repair (pos 1-9).</t>
  </si>
  <si>
    <t xml:space="preserve">/commercial-refrigeration-sydney/repairs/, /commercial-ice-machines/, /commercial-coolroom/, /penrith/</t>
  </si>
  <si>
    <t xml:space="preserve">MEDIUM - commercial</t>
  </si>
  <si>
    <t xml:space="preserve">commercialfridgerepairs.com.au</t>
  </si>
  <si>
    <t xml:space="preserve">Sydney - commercial</t>
  </si>
  <si>
    <t xml:space="preserve">Homepage pos 1-5 for commercial fridge repair terms; suburb pages (Wetherill Park, Camperdown, Bondi, Balmain, Bankstown); blog.</t>
  </si>
  <si>
    <t xml:space="preserve">/ (homepage), /fridge-repairs-wetherill-park/, /coolroom/</t>
  </si>
  <si>
    <t xml:space="preserve">thefridgeguy.com.au</t>
  </si>
  <si>
    <t xml:space="preserve">Melbourne - residential (benchmark)</t>
  </si>
  <si>
    <t xml:space="preserve">Blog + service pages: #1 for leaking water, pos 2-3 for fridge not cooling/cold, fridge repair price/cost.</t>
  </si>
  <si>
    <t xml:space="preserve">/why-is-my-fridge-leaking-water/, /fridge-not-cold-but-freezer-ok/, /samsung-fridge-repair/</t>
  </si>
  <si>
    <t xml:space="preserve">LOW - Melbourne, but best content model</t>
  </si>
  <si>
    <t xml:space="preserve">comref.com.au</t>
  </si>
  <si>
    <t xml:space="preserve">Melbourne - commercial (benchmark)</t>
  </si>
  <si>
    <t xml:space="preserve">Pos 1-7 for commercial refrigeration/freezer terms with one homepage + coolroom page.</t>
  </si>
  <si>
    <t xml:space="preserve">/ , /coolroom-repair-service, /glycol-system-repairs</t>
  </si>
  <si>
    <t xml:space="preserve">LOW - Melbourne, commercial model</t>
  </si>
  <si>
    <t xml:space="preserve">instachill.com.au</t>
  </si>
  <si>
    <t xml:space="preserve">Gold Coast - commercial refrigeration/AC (benchmark)</t>
  </si>
  <si>
    <t xml:space="preserve">One /fridge-repairs/ page ranks pos 1-3 for commercial fridge repair, freezer repair, breakdown service.</t>
  </si>
  <si>
    <t xml:space="preserve">/fridge-repairs/, /cool-room-builder/</t>
  </si>
  <si>
    <t xml:space="preserve">LOW - interstate; shows one strong page can win</t>
  </si>
  <si>
    <t xml:space="preserve">sra.net.au</t>
  </si>
  <si>
    <t xml:space="preserve">Perth - commercial (benchmark)</t>
  </si>
  <si>
    <t xml:space="preserve">Separate pages per service: coolroom, ice machine, regas, display fridge, vending.</t>
  </si>
  <si>
    <t xml:space="preserve">/commercial-refrigeration/coolroom/repairs.html, /commercial-refrigeration/ice-machine.html, /services/regas.html</t>
  </si>
  <si>
    <t xml:space="preserve">LOW - site-structure model</t>
  </si>
  <si>
    <t xml:space="preserve">fridgerepairs.net.au</t>
  </si>
  <si>
    <t xml:space="preserve">Suburb-heavy network of local pages (Glen Waverley, Hampton Park, Toorak...).</t>
  </si>
  <si>
    <t xml:space="preserve">Suburb pages</t>
  </si>
  <si>
    <t xml:space="preserve">LOW - Melbourne</t>
  </si>
  <si>
    <t xml:space="preserve">arcus.com.au</t>
  </si>
  <si>
    <t xml:space="preserve">Perth - commercial equipment retailer + service</t>
  </si>
  <si>
    <t xml:space="preserve">Large product catalogue (ice machines, fridges); service page pos 3-9 for commercial freezer/fridge repair.</t>
  </si>
  <si>
    <t xml:space="preserve">/refrigeration-service/</t>
  </si>
  <si>
    <t xml:space="preserve">LOW - retailer</t>
  </si>
  <si>
    <t xml:space="preserve">fridgerepairparramatta.com.au (YOU)</t>
  </si>
  <si>
    <t xml:space="preserve">Sydney - Parramatta</t>
  </si>
  <si>
    <t xml:space="preserve">n/a</t>
  </si>
  <si>
    <t xml:space="preserve">Semrush shows 9 organic keywords, ~0 traffic, 0 backlinks / referring domains.</t>
  </si>
  <si>
    <t xml:space="preserve">Average authority score of the 11 competitors</t>
  </si>
  <si>
    <t xml:space="preserve">Notes</t>
  </si>
  <si>
    <t xml:space="preserve">Selection: competitors were taken from Semrush SERP tables for 9 money keywords (fridge repairs, fridge repair near me, commercial fridge repair, coolroom repairs, freezer repair, fridge regas, ice machine repair, fridge repair sydney, fridge not cooling) and ranked by how often they appear. Directory sites (Yelp, Yellow Pages, Oneflare, Airtasker, Facebook) are excluded.</t>
  </si>
  <si>
    <t xml:space="preserve">Authority Score is the "Domain AS" column of the Semrush SERP table. Keywords and traffic come from each domain's Organic Research (AU). Competitor keyword totals for "Organic keywords" 1.7K / 1.5K etc. are rounded by Semrush.</t>
  </si>
  <si>
    <t xml:space="preserve">Key takeaway: the Sydney competitors have low authority (AS 10-17) and small keyword counts. Most win with a single page per topic and local pages, not with big sites. This is why a KD 0-20 plan is realistic.</t>
  </si>
  <si>
    <t xml:space="preserve">Competitor</t>
  </si>
  <si>
    <t xml:space="preserve">Competitor page</t>
  </si>
  <si>
    <t xml:space="preserve">Keyword it ranks for</t>
  </si>
  <si>
    <t xml:space="preserve">Position</t>
  </si>
  <si>
    <t xml:space="preserve">Volume</t>
  </si>
  <si>
    <t xml:space="preserve">Intent</t>
  </si>
  <si>
    <t xml:space="preserve">Your matching page</t>
  </si>
  <si>
    <t xml:space="preserve">Your status</t>
  </si>
  <si>
    <t xml:space="preserve">/fridge-repairs-parramatta/</t>
  </si>
  <si>
    <t xml:space="preserve">HOME (+ AREAS hub)</t>
  </si>
  <si>
    <t xml:space="preserve">Homepage only - no dedicated local page</t>
  </si>
  <si>
    <t xml:space="preserve">/fridge-repairs-penrith/</t>
  </si>
  <si>
    <t xml:space="preserve">EXP-WSYD (conditional)</t>
  </si>
  <si>
    <t xml:space="preserve">No page - outside listed suburbs</t>
  </si>
  <si>
    <t xml:space="preserve">/fridge-repairs-castle-hill/</t>
  </si>
  <si>
    <t xml:space="preserve">No page</t>
  </si>
  <si>
    <t xml:space="preserve">/fridge-gas-refill-sydney-guide/</t>
  </si>
  <si>
    <t xml:space="preserve">Page exists - needs freezer regas section</t>
  </si>
  <si>
    <t xml:space="preserve">Page exists - optimise</t>
  </si>
  <si>
    <t xml:space="preserve">/commercial-coolroom-repairs-sydney/</t>
  </si>
  <si>
    <t xml:space="preserve">/hisense-fridge-repairs-sydney/</t>
  </si>
  <si>
    <t xml:space="preserve">fridge repair near me</t>
  </si>
  <si>
    <t xml:space="preserve">KD 38 - long-term target (not in KD 0-20 list)</t>
  </si>
  <si>
    <t xml:space="preserve">Optimise - add "mechanic/technician" wording</t>
  </si>
  <si>
    <t xml:space="preserve">/brands/lg-fridge-repair/</t>
  </si>
  <si>
    <t xml:space="preserve">No page - competitor only pos 36, easy to beat</t>
  </si>
  <si>
    <t xml:space="preserve">/commercial-refrigeration-sydney/repairs/</t>
  </si>
  <si>
    <t xml:space="preserve">/commercial-ice-machines/</t>
  </si>
  <si>
    <t xml:space="preserve">/commercial-coolroom/</t>
  </si>
  <si>
    <t xml:space="preserve">No page (note: KD 10 in keyword tool, 6 in competitor view)</t>
  </si>
  <si>
    <t xml:space="preserve">/fridge-repairs/</t>
  </si>
  <si>
    <t xml:space="preserve">/commercial-refrigeration/ice-machine.html</t>
  </si>
  <si>
    <t xml:space="preserve">/why-is-my-fridge-leaking-water/</t>
  </si>
  <si>
    <t xml:space="preserve">No post</t>
  </si>
  <si>
    <t xml:space="preserve">/fridge-not-cold-but-freezer-ok/</t>
  </si>
  <si>
    <t xml:space="preserve">Post exists - strengthen</t>
  </si>
  <si>
    <t xml:space="preserve">Page exists - strengthen</t>
  </si>
  <si>
    <t xml:space="preserve">Source: Semrush Organic Research (AU) per competitor domain, positions as of Oct 2026. Only keywords with KD &lt;= 20 shown except where marked.</t>
  </si>
  <si>
    <t xml:space="preserve">Item</t>
  </si>
  <si>
    <t xml:space="preserve">What we found on the live site</t>
  </si>
  <si>
    <t xml:space="preserve">Recommendation</t>
  </si>
  <si>
    <t xml:space="preserve">Live pages (from homepage navigation)</t>
  </si>
  <si>
    <t xml:space="preserve">/, /services, /fridge-not-cooling-repair, /fridge-regas, /brands, /about, /blog, /contact, /fridge-repair-cost, /emergency-fridge-repair + 3 blog posts</t>
  </si>
  <si>
    <t xml:space="preserve">Existing</t>
  </si>
  <si>
    <t xml:space="preserve">Optimise these 9 - do not recreate them. Page IDs HOME, SERV-HUB, NOTCOOL, REGAS, COST, EMERG, BRANDS, B-NOTCOOL, B-SUMMER.</t>
  </si>
  <si>
    <t xml:space="preserve">Services covered only as anchors</t>
  </si>
  <si>
    <t xml:space="preserve">Commercial, coolroom, freezer, compressor, bar/wine, ice machine, display fridge exist only as sections on /services (#commercial, #by-fault, #by-type)</t>
  </si>
  <si>
    <t xml:space="preserve">Gap</t>
  </si>
  <si>
    <t xml:space="preserve">Create 8 new service/commercial pages (FREEZER, COMM-FRIDGE, COMM-FREEZER, COOLROOM, ICE, SEAL, COMPRESSOR, BAR-WINE). This is the biggest single opportunity.</t>
  </si>
  <si>
    <t xml:space="preserve">Brand pages</t>
  </si>
  <si>
    <t xml:space="preserve">/brands page lists ~50 brands but no individual brand pages found in the navigation</t>
  </si>
  <si>
    <t xml:space="preserve">Create 8 brand pages for brands with measured demand: Samsung, LG, Westinghouse, Fisher &amp; Paykel, Electrolux, Haier, Hisense, Miele.</t>
  </si>
  <si>
    <t xml:space="preserve">30 suburbs listed on homepage (#suburbs anchor); no suburb pages linked</t>
  </si>
  <si>
    <t xml:space="preserve">Create an /areas hub + 2 regional pages with real demand (Blacktown, Hills District). Do not build 30 thin pages.</t>
  </si>
  <si>
    <t xml:space="preserve">Phone number</t>
  </si>
  <si>
    <t xml:space="preserve">No phone number on homepage; only email and "Book Online 24/7" form</t>
  </si>
  <si>
    <t xml:space="preserve">Fix now</t>
  </si>
  <si>
    <t xml:space="preserve">Add visible phone number + tel: link in header/footer. Local transactional searches ("near me", emergency) convert by phone.</t>
  </si>
  <si>
    <t xml:space="preserve">Address / NAP</t>
  </si>
  <si>
    <t xml:space="preserve">Only "Parramatta, Sydney, NSW" - no street address</t>
  </si>
  <si>
    <t xml:space="preserve">Check</t>
  </si>
  <si>
    <t xml:space="preserve">Ensure NAP matches Google Business Profile. Use service-area business settings if there is no shopfront.</t>
  </si>
  <si>
    <t xml:space="preserve">URL structure</t>
  </si>
  <si>
    <t xml:space="preserve">Live URLs are flat (/fridge-regas, /fridge-not-cooling-repair, /fridge-repair-cost). Blog posts use /blog-xxx pattern. Your old plan used /services/..., /blog/... for these.</t>
  </si>
  <si>
    <t xml:space="preserve">Decision</t>
  </si>
  <si>
    <t xml:space="preserve">Keep live URLs unchanged for existing pages (no redirect risk). New pages: use folder URLs shown in Page Plan. Do not create duplicates of live pages.</t>
  </si>
  <si>
    <t xml:space="preserve">Internal linking</t>
  </si>
  <si>
    <t xml:space="preserve">Navigation links Residential/Commercial/Freezer to /services# anchors</t>
  </si>
  <si>
    <t xml:space="preserve">Fix</t>
  </si>
  <si>
    <t xml:space="preserve">Once new pages exist, point nav items to real URLs, and link every new page from /services and the homepage.</t>
  </si>
  <si>
    <t xml:space="preserve">Tools / widgets</t>
  </si>
  <si>
    <t xml:space="preserve">Symptom checker, repair-vs-replace checker, quote estimator, dispatch status</t>
  </si>
  <si>
    <t xml:space="preserve">Good</t>
  </si>
  <si>
    <t xml:space="preserve">Keep - they help conversion. Make sure the content around them is crawlable text.</t>
  </si>
  <si>
    <t xml:space="preserve">Organic visibility (Semrush AU)</t>
  </si>
  <si>
    <t xml:space="preserve">9 organic keywords, ~0 traffic, 0 backlinks, 0 referring domains, no Authority Score</t>
  </si>
  <si>
    <t xml:space="preserve">Baseline</t>
  </si>
  <si>
    <t xml:space="preserve">Brand-new domain: expect rankings to start on KD &lt; 10 keywords first. Citations + Google reviews matter as much as content.</t>
  </si>
  <si>
    <t xml:space="preserve">Competitor authority</t>
  </si>
  <si>
    <t xml:space="preserve">Sydney competitors have Authority Score 10-17</t>
  </si>
  <si>
    <t xml:space="preserve">Opportunity</t>
  </si>
  <si>
    <t xml:space="preserve">The gap is mainly content and local signals, not domain strength.</t>
  </si>
  <si>
    <t xml:space="preserve">Live-site findings come from the homepage content and navigation (fetched 16 Oct 2026); individual inner pages were not crawled one by one.</t>
  </si>
  <si>
    <t xml:space="preserve">Group in your 8-week file</t>
  </si>
  <si>
    <t xml:space="preserve">Old plan pages</t>
  </si>
  <si>
    <t xml:space="preserve">What Semrush data shows</t>
  </si>
  <si>
    <t xml:space="preserve">Verdict</t>
  </si>
  <si>
    <t xml:space="preserve">Core + hub pages (HOME, EMERG, COST, SVC-HUB, BRAND-HUB, AREA-HUB)</t>
  </si>
  <si>
    <t xml:space="preserve">Cost (8 kws), emergency (6 kws) and home have real demand.</t>
  </si>
  <si>
    <t xml:space="preserve">KEEP - but EMERG, COST, services and brands hubs already exist live. Treat as "optimise existing", not "new". AREA-HUB is genuinely new.</t>
  </si>
  <si>
    <t xml:space="preserve">Core money services (not cooling, regas, compressor, seal, freezer)</t>
  </si>
  <si>
    <t xml:space="preserve">Seal cluster 23 kws / 1,300 top vol; freezer 10 kws; regas 12 kws; compressor 1 kw; not-cooling service has weak commercial terms (informational goes to blog).</t>
  </si>
  <si>
    <t xml:space="preserve">KEEP. NOTCOOL and REGAS exist live (flat URLs) - optimise. SEAL, FREEZER, COMPRESSOR = new. Seal is the biggest un-served cluster.</t>
  </si>
  <si>
    <t xml:space="preserve">Commercial hub, coolroom, ice machine, display</t>
  </si>
  <si>
    <t xml:space="preserve">Commercial refrigeration 26 kws, commercial freezer 6, coolroom 15, ice machine 12. Display fridge only 50 vol.</t>
  </si>
  <si>
    <t xml:space="preserve">KEEP and expand: split into COMM-FRIDGE, COMM-FREEZER, COOLROOM, ICE. MERGE display fridge into COMM-FRIDGE.</t>
  </si>
  <si>
    <t xml:space="preserve">Brand pages (18 brands)</t>
  </si>
  <si>
    <t xml:space="preserve">Strong volume for Samsung, LG, Westinghouse, Fisher &amp; Paykel, Electrolux, Haier, Hisense, Miele. Kelvinator and Bosch queries returned no measurable repair volume; other small brands (Smeg, Beko, Sub-Zero, Whirlpool, Liebherr, Mitsubishi, Panasonic) were not individually queried and did not appear in KD 0-20 results.</t>
  </si>
  <si>
    <t xml:space="preserve">TRIM to 8 brand pages; cover the rest as sections on /brands. Many Miele/Bosch/Electrolux/LG searches are washers/dishwashers - only fridge terms are counted here.</t>
  </si>
  <si>
    <t xml:space="preserve">Suburb pages (20)</t>
  </si>
  <si>
    <t xml:space="preserve">Only Parramatta (140), Blacktown (110), Castle Hill (70), Baulkham Hills (70), Hills District (260, appliance) showed volume. Small suburbs (Rosehill, Harris Park, Mays Hill...) were not individually queried and did not appear in suburb-phrase searches.</t>
  </si>
  <si>
    <t xml:space="preserve">REPLACE with /areas hub + LOC-BLACKTOWN + LOC-HILLS. Treat small suburbs as optional short pages after the main pages rank.</t>
  </si>
  <si>
    <t xml:space="preserve">Fridge-type pages (side-by-side, French door, bar, wine, integrated, camping)</t>
  </si>
  <si>
    <t xml:space="preserve">Bar + wine + mini fridge = 4 small keywords (50-70 each). Others did not appear in KD 0-20 results.</t>
  </si>
  <si>
    <t xml:space="preserve">KEEP bar + wine as one page (BAR-WINE). DROP the other four for now; mention types as sections on service pages.</t>
  </si>
  <si>
    <t xml:space="preserve">Fault / specialist services (thermostat, fan motor, defrost, leaking, noisy, ice maker, maintenance)</t>
  </si>
  <si>
    <t xml:space="preserve">Leaking water (9 kws), noise (4), freezer not freezing (2) have demand as informational searches; thermostat/fan/defrost/ice-maker-fridge not individually queried and did not appear.</t>
  </si>
  <si>
    <t xml:space="preserve">MERGE into blog posts (B-LEAK, B-NOISE, B-FREEZER) instead of separate service pages.</t>
  </si>
  <si>
    <t xml:space="preserve">Regional hubs (Hills, Cumberland, Auburn, Ryde)</t>
  </si>
  <si>
    <t xml:space="preserve">Hills District has volume (260). Others not measured.</t>
  </si>
  <si>
    <t xml:space="preserve">KEEP Hills as LOC-HILLS; fold others into /areas hub.</t>
  </si>
  <si>
    <t xml:space="preserve">Installation + insurance pages</t>
  </si>
  <si>
    <t xml:space="preserve">Not measured.</t>
  </si>
  <si>
    <t xml:space="preserve">DROP for now.</t>
  </si>
  <si>
    <t xml:space="preserve">Blog posts (error codes, how-to, etc.)</t>
  </si>
  <si>
    <t xml:space="preserve">Only fridge-not-cooling (11 kws), leaking water (9), maintenance (1), noise (4), freezer not freezing (2) have measured demand.</t>
  </si>
  <si>
    <t xml:space="preserve">KEEP the 5 above; deprioritise error-code and how-to-move posts until core pages are live.</t>
  </si>
  <si>
    <t xml:space="preserve">Technical + GBP + citations + KPI tabs</t>
  </si>
  <si>
    <t xml:space="preserve">Not keyword-related.</t>
  </si>
  <si>
    <t xml:space="preserve">KEEP as is - this file does not replace them. Use the new Page Plan as the content calendar.</t>
  </si>
  <si>
    <t xml:space="preserve">Total pages in old plan (pages column)</t>
  </si>
  <si>
    <t xml:space="preserve">Old file states 88 pages.</t>
  </si>
  <si>
    <t xml:space="preserve">New plan: see Summary.</t>
  </si>
</sst>
</file>

<file path=xl/styles.xml><?xml version="1.0" encoding="utf-8"?>
<styleSheet xmlns="http://schemas.openxmlformats.org/spreadsheetml/2006/main">
  <numFmts count="4">
    <numFmt numFmtId="164" formatCode="General"/>
    <numFmt numFmtId="165" formatCode="#,##0"/>
    <numFmt numFmtId="166" formatCode="0.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i val="true"/>
      <sz val="10"/>
      <name val="Arial"/>
      <family val="0"/>
      <charset val="1"/>
    </font>
    <font>
      <b val="true"/>
      <sz val="12"/>
      <name val="Arial"/>
      <family val="0"/>
      <charset val="1"/>
    </font>
    <font>
      <sz val="10"/>
      <name val="Arial"/>
      <family val="0"/>
      <charset val="1"/>
    </font>
    <font>
      <b val="true"/>
      <sz val="10"/>
      <color rgb="FF000000"/>
      <name val="Arial"/>
      <family val="0"/>
      <charset val="1"/>
    </font>
    <font>
      <b val="true"/>
      <sz val="10"/>
      <color rgb="FF0000FF"/>
      <name val="Arial"/>
      <family val="0"/>
      <charset val="1"/>
    </font>
    <font>
      <i val="true"/>
      <sz val="9"/>
      <name val="Arial"/>
      <family val="0"/>
      <charset val="1"/>
    </font>
    <font>
      <b val="true"/>
      <sz val="10"/>
      <color rgb="FFFFFFFF"/>
      <name val="Arial"/>
      <family val="0"/>
      <charset val="1"/>
    </font>
    <font>
      <b val="true"/>
      <sz val="10"/>
      <name val="Arial"/>
      <family val="0"/>
      <charset val="1"/>
    </font>
    <font>
      <sz val="9"/>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D9EAD3"/>
        <bgColor rgb="FFCFE2F3"/>
      </patternFill>
    </fill>
    <fill>
      <patternFill patternType="solid">
        <fgColor rgb="FFCFE2F3"/>
        <bgColor rgb="FFD9EAD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7" fillId="4"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true" applyProtection="false">
      <alignment horizontal="general" vertical="top" textRotation="0" wrapText="false" indent="0" shrinkToFit="false"/>
      <protection locked="true" hidden="false"/>
    </xf>
    <xf numFmtId="164" fontId="12" fillId="5" borderId="1" xfId="0" applyFont="true" applyBorder="true" applyAlignment="true" applyProtection="false">
      <alignment horizontal="general" vertical="top" textRotation="0" wrapText="true" indent="0" shrinkToFit="false"/>
      <protection locked="true" hidden="false"/>
    </xf>
    <xf numFmtId="165" fontId="12" fillId="5" borderId="1" xfId="0" applyFont="true" applyBorder="true" applyAlignment="true" applyProtection="false">
      <alignment horizontal="general" vertical="top"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CFE2F3"/>
          <bgColor rgb="FF000000"/>
        </patternFill>
      </fill>
    </dxf>
    <dxf>
      <fill>
        <patternFill patternType="solid">
          <fgColor rgb="FFD9EAD3"/>
          <bgColor rgb="FF000000"/>
        </patternFill>
      </fill>
    </dxf>
    <dxf>
      <fill>
        <patternFill>
          <bgColor rgb="FFF4CCCC"/>
        </patternFill>
      </fill>
    </dxf>
    <dxf>
      <fill>
        <patternFill patternType="solid">
          <fgColor rgb="FFFFF2CC"/>
          <bgColor rgb="FF000000"/>
        </patternFill>
      </fill>
    </dxf>
    <dxf>
      <fill>
        <patternFill>
          <bgColor rgb="FFD9EAD3"/>
        </patternFill>
      </fill>
    </dxf>
    <dxf>
      <fill>
        <patternFill>
          <bgColor rgb="FFFFF2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2" min="2" style="0" width="14"/>
    <col collapsed="false" customWidth="true" hidden="false" outlineLevel="0" max="3" min="3" style="0" width="4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COUNTA('Keyword List'!A2:A257)</f>
        <v>256</v>
      </c>
    </row>
    <row r="6" customFormat="false" ht="15" hidden="false" customHeight="false" outlineLevel="0" collapsed="false">
      <c r="A6" s="4" t="s">
        <v>4</v>
      </c>
      <c r="B6" s="5" t="n">
        <f aca="false">COUNTIF('Keyword List'!I2:I257,"Money")</f>
        <v>170</v>
      </c>
    </row>
    <row r="7" customFormat="false" ht="15" hidden="false" customHeight="false" outlineLevel="0" collapsed="false">
      <c r="A7" s="4" t="s">
        <v>5</v>
      </c>
      <c r="B7" s="5" t="n">
        <f aca="false">COUNTIF('Keyword List'!I2:I257,"Support")</f>
        <v>86</v>
      </c>
    </row>
    <row r="8" customFormat="false" ht="15" hidden="false" customHeight="false" outlineLevel="0" collapsed="false">
      <c r="A8" s="4" t="s">
        <v>6</v>
      </c>
      <c r="B8" s="6" t="n">
        <f aca="false">AVERAGE('Keyword List'!D2:D257)</f>
        <v>10.92578125</v>
      </c>
    </row>
    <row r="9" customFormat="false" ht="15" hidden="false" customHeight="false" outlineLevel="0" collapsed="false">
      <c r="A9" s="4" t="s">
        <v>7</v>
      </c>
      <c r="B9" s="5" t="n">
        <f aca="false">COUNTIF('Keyword List'!D2:D257,"&lt;=10")</f>
        <v>121</v>
      </c>
    </row>
    <row r="10" customFormat="false" ht="15" hidden="false" customHeight="false" outlineLevel="0" collapsed="false">
      <c r="A10" s="4" t="s">
        <v>8</v>
      </c>
      <c r="B10" s="5" t="n">
        <f aca="false">COUNTA('Page Plan'!A2:A33)</f>
        <v>32</v>
      </c>
    </row>
    <row r="11" customFormat="false" ht="15" hidden="false" customHeight="false" outlineLevel="0" collapsed="false">
      <c r="A11" s="4" t="s">
        <v>9</v>
      </c>
      <c r="B11" s="5" t="n">
        <f aca="false">COUNTIF('Page Plan'!G2:G33,"Optimise*")</f>
        <v>9</v>
      </c>
    </row>
    <row r="12" customFormat="false" ht="15" hidden="false" customHeight="false" outlineLevel="0" collapsed="false">
      <c r="A12" s="4" t="s">
        <v>10</v>
      </c>
      <c r="B12" s="5" t="n">
        <f aca="false">COUNTIF('Page Plan'!G2:G33,"Create*")</f>
        <v>23</v>
      </c>
    </row>
    <row r="13" customFormat="false" ht="15" hidden="false" customHeight="false" outlineLevel="0" collapsed="false">
      <c r="A13" s="4" t="s">
        <v>11</v>
      </c>
      <c r="B13" s="5" t="n">
        <f aca="false">COUNTIF('Page Plan'!G2:G33,"*conditional*")</f>
        <v>1</v>
      </c>
    </row>
    <row r="14" customFormat="false" ht="15" hidden="false" customHeight="false" outlineLevel="0" collapsed="false">
      <c r="A14" s="4" t="s">
        <v>12</v>
      </c>
      <c r="B14" s="5" t="n">
        <f aca="false">COUNTA(Competitors!B2:B12)</f>
        <v>11</v>
      </c>
    </row>
    <row r="15" customFormat="false" ht="15" hidden="false" customHeight="false" outlineLevel="0" collapsed="false">
      <c r="A15" s="4" t="s">
        <v>13</v>
      </c>
      <c r="B15" s="7" t="n">
        <v>9</v>
      </c>
      <c r="C15" s="8" t="s">
        <v>14</v>
      </c>
    </row>
    <row r="17" customFormat="false" ht="15" hidden="false" customHeight="false" outlineLevel="0" collapsed="false">
      <c r="A17" s="3" t="s">
        <v>15</v>
      </c>
    </row>
    <row r="18" customFormat="false" ht="15" hidden="false" customHeight="false" outlineLevel="0" collapsed="false">
      <c r="A18" s="9" t="s">
        <v>16</v>
      </c>
      <c r="B18" s="9" t="s">
        <v>17</v>
      </c>
      <c r="C18" s="9" t="s">
        <v>18</v>
      </c>
    </row>
    <row r="19" customFormat="false" ht="15" hidden="false" customHeight="false" outlineLevel="0" collapsed="false">
      <c r="A19" s="10" t="s">
        <v>19</v>
      </c>
      <c r="B19" s="10" t="n">
        <f aca="false">COUNTIF('Page Plan'!$F$2:$F$33,A19)</f>
        <v>3</v>
      </c>
      <c r="C19" s="11" t="n">
        <f aca="false">SUMIF('Page Plan'!$F$2:$F$33,A19,'Page Plan'!$K$2:$K$33)</f>
        <v>13970</v>
      </c>
    </row>
    <row r="20" customFormat="false" ht="15" hidden="false" customHeight="false" outlineLevel="0" collapsed="false">
      <c r="A20" s="10" t="s">
        <v>20</v>
      </c>
      <c r="B20" s="10" t="n">
        <f aca="false">COUNTIF('Page Plan'!$F$2:$F$33,A20)</f>
        <v>3</v>
      </c>
      <c r="C20" s="11" t="n">
        <f aca="false">SUMIF('Page Plan'!$F$2:$F$33,A20,'Page Plan'!$K$2:$K$33)</f>
        <v>1900</v>
      </c>
    </row>
    <row r="21" customFormat="false" ht="15" hidden="false" customHeight="false" outlineLevel="0" collapsed="false">
      <c r="A21" s="10" t="s">
        <v>21</v>
      </c>
      <c r="B21" s="10" t="n">
        <f aca="false">COUNTIF('Page Plan'!$F$2:$F$33,A21)</f>
        <v>6</v>
      </c>
      <c r="C21" s="11" t="n">
        <f aca="false">SUMIF('Page Plan'!$F$2:$F$33,A21,'Page Plan'!$K$2:$K$33)</f>
        <v>12500</v>
      </c>
    </row>
    <row r="22" customFormat="false" ht="15" hidden="false" customHeight="false" outlineLevel="0" collapsed="false">
      <c r="A22" s="10" t="s">
        <v>22</v>
      </c>
      <c r="B22" s="10" t="n">
        <f aca="false">COUNTIF('Page Plan'!$F$2:$F$33,A22)</f>
        <v>4</v>
      </c>
      <c r="C22" s="11" t="n">
        <f aca="false">SUMIF('Page Plan'!$F$2:$F$33,A22,'Page Plan'!$K$2:$K$33)</f>
        <v>9920</v>
      </c>
    </row>
    <row r="23" customFormat="false" ht="15" hidden="false" customHeight="false" outlineLevel="0" collapsed="false">
      <c r="A23" s="10" t="s">
        <v>23</v>
      </c>
      <c r="B23" s="10" t="n">
        <f aca="false">COUNTIF('Page Plan'!$F$2:$F$33,A23)</f>
        <v>8</v>
      </c>
      <c r="C23" s="11" t="n">
        <f aca="false">SUMIF('Page Plan'!$F$2:$F$33,A23,'Page Plan'!$K$2:$K$33)</f>
        <v>17180</v>
      </c>
    </row>
    <row r="24" customFormat="false" ht="15" hidden="false" customHeight="false" outlineLevel="0" collapsed="false">
      <c r="A24" s="10" t="s">
        <v>24</v>
      </c>
      <c r="B24" s="10" t="n">
        <f aca="false">COUNTIF('Page Plan'!$F$2:$F$33,A24)</f>
        <v>1</v>
      </c>
      <c r="C24" s="11" t="n">
        <f aca="false">SUMIF('Page Plan'!$F$2:$F$33,A24,'Page Plan'!$K$2:$K$33)</f>
        <v>180</v>
      </c>
    </row>
    <row r="25" customFormat="false" ht="15" hidden="false" customHeight="false" outlineLevel="0" collapsed="false">
      <c r="A25" s="10" t="s">
        <v>25</v>
      </c>
      <c r="B25" s="10" t="n">
        <f aca="false">COUNTIF('Page Plan'!$F$2:$F$33,A25)</f>
        <v>2</v>
      </c>
      <c r="C25" s="11" t="n">
        <f aca="false">SUMIF('Page Plan'!$F$2:$F$33,A25,'Page Plan'!$K$2:$K$33)</f>
        <v>1290</v>
      </c>
    </row>
    <row r="26" customFormat="false" ht="15" hidden="false" customHeight="false" outlineLevel="0" collapsed="false">
      <c r="A26" s="10" t="s">
        <v>26</v>
      </c>
      <c r="B26" s="10" t="n">
        <f aca="false">COUNTIF('Page Plan'!$F$2:$F$33,A26)</f>
        <v>5</v>
      </c>
      <c r="C26" s="11" t="n">
        <f aca="false">SUMIF('Page Plan'!$F$2:$F$33,A26,'Page Plan'!$K$2:$K$33)</f>
        <v>3220</v>
      </c>
    </row>
    <row r="28" customFormat="false" ht="15" hidden="false" customHeight="false" outlineLevel="0" collapsed="false">
      <c r="A28" s="3" t="s">
        <v>27</v>
      </c>
    </row>
    <row r="29" customFormat="false" ht="30" hidden="false" customHeight="true" outlineLevel="0" collapsed="false">
      <c r="A29" s="12" t="s">
        <v>28</v>
      </c>
      <c r="B29" s="12"/>
      <c r="C29" s="12"/>
    </row>
    <row r="30" customFormat="false" ht="30" hidden="false" customHeight="true" outlineLevel="0" collapsed="false">
      <c r="A30" s="12" t="s">
        <v>29</v>
      </c>
      <c r="B30" s="12"/>
      <c r="C30" s="12"/>
    </row>
    <row r="31" customFormat="false" ht="30" hidden="false" customHeight="true" outlineLevel="0" collapsed="false">
      <c r="A31" s="12" t="s">
        <v>30</v>
      </c>
      <c r="B31" s="12"/>
      <c r="C31" s="12"/>
    </row>
    <row r="32" customFormat="false" ht="30" hidden="false" customHeight="true" outlineLevel="0" collapsed="false">
      <c r="A32" s="12" t="s">
        <v>31</v>
      </c>
      <c r="B32" s="12"/>
      <c r="C32" s="12"/>
    </row>
    <row r="33" customFormat="false" ht="30" hidden="false" customHeight="true" outlineLevel="0" collapsed="false">
      <c r="A33" s="12" t="s">
        <v>32</v>
      </c>
      <c r="B33" s="12"/>
      <c r="C33" s="12"/>
    </row>
    <row r="34" customFormat="false" ht="30" hidden="false" customHeight="true" outlineLevel="0" collapsed="false">
      <c r="A34" s="12" t="s">
        <v>33</v>
      </c>
      <c r="B34" s="12"/>
      <c r="C34" s="12"/>
    </row>
    <row r="35" customFormat="false" ht="30" hidden="false" customHeight="true" outlineLevel="0" collapsed="false">
      <c r="A35" s="12" t="s">
        <v>34</v>
      </c>
      <c r="B35" s="12"/>
      <c r="C35" s="12"/>
    </row>
    <row r="36" customFormat="false" ht="30" hidden="false" customHeight="true" outlineLevel="0" collapsed="false">
      <c r="A36" s="12" t="s">
        <v>35</v>
      </c>
      <c r="B36" s="12"/>
      <c r="C36" s="12"/>
    </row>
    <row r="38" customFormat="false" ht="15" hidden="false" customHeight="false" outlineLevel="0" collapsed="false">
      <c r="A38" s="3" t="s">
        <v>36</v>
      </c>
    </row>
    <row r="39" customFormat="false" ht="43.5" hidden="false" customHeight="true" outlineLevel="0" collapsed="false">
      <c r="A39" s="12" t="s">
        <v>37</v>
      </c>
      <c r="B39" s="12"/>
      <c r="C39" s="12"/>
    </row>
    <row r="40" customFormat="false" ht="43.5" hidden="false" customHeight="true" outlineLevel="0" collapsed="false">
      <c r="A40" s="12" t="s">
        <v>38</v>
      </c>
      <c r="B40" s="12"/>
      <c r="C40" s="12"/>
    </row>
    <row r="41" customFormat="false" ht="43.5" hidden="false" customHeight="true" outlineLevel="0" collapsed="false">
      <c r="A41" s="12" t="s">
        <v>39</v>
      </c>
      <c r="B41" s="12"/>
      <c r="C41" s="12"/>
    </row>
    <row r="42" customFormat="false" ht="43.5" hidden="false" customHeight="true" outlineLevel="0" collapsed="false">
      <c r="A42" s="12" t="s">
        <v>40</v>
      </c>
      <c r="B42" s="12"/>
      <c r="C42" s="12"/>
    </row>
    <row r="43" customFormat="false" ht="43.5" hidden="false" customHeight="true" outlineLevel="0" collapsed="false">
      <c r="A43" s="12" t="s">
        <v>41</v>
      </c>
      <c r="B43" s="12"/>
      <c r="C43" s="12"/>
    </row>
    <row r="44" customFormat="false" ht="43.5" hidden="false" customHeight="true" outlineLevel="0" collapsed="false">
      <c r="A44" s="12" t="s">
        <v>42</v>
      </c>
      <c r="B44" s="12"/>
      <c r="C44" s="12"/>
    </row>
  </sheetData>
  <mergeCells count="14">
    <mergeCell ref="A29:C29"/>
    <mergeCell ref="A30:C30"/>
    <mergeCell ref="A31:C31"/>
    <mergeCell ref="A32:C32"/>
    <mergeCell ref="A33:C33"/>
    <mergeCell ref="A34:C34"/>
    <mergeCell ref="A35:C35"/>
    <mergeCell ref="A36:C36"/>
    <mergeCell ref="A39:C39"/>
    <mergeCell ref="A40:C40"/>
    <mergeCell ref="A41:C41"/>
    <mergeCell ref="A42:C42"/>
    <mergeCell ref="A43:C43"/>
    <mergeCell ref="A44:C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9"/>
    <col collapsed="false" customWidth="true" hidden="false" outlineLevel="0" max="3" min="3" style="0" width="8"/>
    <col collapsed="false" customWidth="true" hidden="false" outlineLevel="0" max="4" min="4" style="0" width="30"/>
    <col collapsed="false" customWidth="true" hidden="false" outlineLevel="0" max="5" min="5" style="0" width="38"/>
    <col collapsed="false" customWidth="true" hidden="false" outlineLevel="0" max="6" min="6" style="0" width="18"/>
    <col collapsed="false" customWidth="true" hidden="false" outlineLevel="0" max="7" min="7" style="0" width="20"/>
    <col collapsed="false" customWidth="true" hidden="false" outlineLevel="0" max="8" min="8" style="0" width="30"/>
    <col collapsed="false" customWidth="true" hidden="false" outlineLevel="0" max="9" min="9" style="0" width="11"/>
    <col collapsed="false" customWidth="true" hidden="false" outlineLevel="0" max="10" min="10" style="0" width="10"/>
    <col collapsed="false" customWidth="true" hidden="false" outlineLevel="0" max="11" min="11" style="0" width="11"/>
    <col collapsed="false" customWidth="true" hidden="false" outlineLevel="0" max="12" min="12" style="0" width="8"/>
    <col collapsed="false" customWidth="true" hidden="false" outlineLevel="0" max="13" min="13" style="0" width="40"/>
    <col collapsed="false" customWidth="true" hidden="false" outlineLevel="0" max="14" min="14" style="0" width="8"/>
    <col collapsed="false" customWidth="true" hidden="false" outlineLevel="0" max="15" min="15" style="0" width="52"/>
    <col collapsed="false" customWidth="true" hidden="false" outlineLevel="0" max="16" min="16" style="0" width="8"/>
    <col collapsed="false" customWidth="true" hidden="false" outlineLevel="0" max="17" min="17" style="0" width="38"/>
    <col collapsed="false" customWidth="true" hidden="false" outlineLevel="0" max="18" min="18" style="0" width="70"/>
    <col collapsed="false" customWidth="true" hidden="false" outlineLevel="0" max="19" min="19" style="0" width="45"/>
    <col collapsed="false" customWidth="true" hidden="false" outlineLevel="0" max="20" min="20" style="0" width="12"/>
  </cols>
  <sheetData>
    <row r="1" customFormat="false" ht="35.05" hidden="false" customHeight="false" outlineLevel="0" collapsed="false">
      <c r="A1" s="9" t="s">
        <v>43</v>
      </c>
      <c r="B1" s="9" t="s">
        <v>44</v>
      </c>
      <c r="C1" s="9" t="s">
        <v>45</v>
      </c>
      <c r="D1" s="9" t="s">
        <v>46</v>
      </c>
      <c r="E1" s="9" t="s">
        <v>47</v>
      </c>
      <c r="F1" s="9" t="s">
        <v>16</v>
      </c>
      <c r="G1" s="9" t="s">
        <v>48</v>
      </c>
      <c r="H1" s="9" t="s">
        <v>49</v>
      </c>
      <c r="I1" s="9" t="s">
        <v>50</v>
      </c>
      <c r="J1" s="9" t="s">
        <v>51</v>
      </c>
      <c r="K1" s="9" t="s">
        <v>52</v>
      </c>
      <c r="L1" s="9" t="s">
        <v>53</v>
      </c>
      <c r="M1" s="9" t="s">
        <v>54</v>
      </c>
      <c r="N1" s="9" t="s">
        <v>55</v>
      </c>
      <c r="O1" s="9" t="s">
        <v>56</v>
      </c>
      <c r="P1" s="9" t="s">
        <v>57</v>
      </c>
      <c r="Q1" s="9" t="s">
        <v>58</v>
      </c>
      <c r="R1" s="9" t="s">
        <v>59</v>
      </c>
      <c r="S1" s="9" t="s">
        <v>60</v>
      </c>
      <c r="T1" s="9" t="s">
        <v>61</v>
      </c>
    </row>
    <row r="2" customFormat="false" ht="94.5" hidden="false" customHeight="true" outlineLevel="0" collapsed="false">
      <c r="A2" s="13" t="s">
        <v>62</v>
      </c>
      <c r="B2" s="13" t="s">
        <v>63</v>
      </c>
      <c r="C2" s="13" t="s">
        <v>64</v>
      </c>
      <c r="D2" s="14" t="s">
        <v>65</v>
      </c>
      <c r="E2" s="14" t="s">
        <v>66</v>
      </c>
      <c r="F2" s="13" t="s">
        <v>19</v>
      </c>
      <c r="G2" s="15" t="s">
        <v>67</v>
      </c>
      <c r="H2" s="14" t="s">
        <v>68</v>
      </c>
      <c r="I2" s="16" t="n">
        <f aca="false">IF(H2="",0,SUMIFS('Keyword List'!$C$2:$C$257,'Keyword List'!$A$2:$A$257,H2))</f>
        <v>2400</v>
      </c>
      <c r="J2" s="13" t="n">
        <f aca="false">COUNTIF('Keyword List'!$E$2:$E$257,A2)</f>
        <v>25</v>
      </c>
      <c r="K2" s="16" t="n">
        <f aca="false">SUMIF('Keyword List'!$E$2:$E$257,A2,'Keyword List'!$C$2:$C$257)</f>
        <v>12440</v>
      </c>
      <c r="L2" s="17" t="n">
        <f aca="false">IFERROR(AVERAGEIF('Keyword List'!$E$2:$E$257,A2,'Keyword List'!$D$2:$D$257),0)</f>
        <v>12.56</v>
      </c>
      <c r="M2" s="14" t="s">
        <v>69</v>
      </c>
      <c r="N2" s="18" t="n">
        <f aca="false">LEN(M2)</f>
        <v>54</v>
      </c>
      <c r="O2" s="14" t="s">
        <v>70</v>
      </c>
      <c r="P2" s="18" t="n">
        <f aca="false">LEN(O2)</f>
        <v>139</v>
      </c>
      <c r="Q2" s="14" t="s">
        <v>71</v>
      </c>
      <c r="R2" s="14" t="s">
        <v>72</v>
      </c>
      <c r="S2" s="14" t="s">
        <v>73</v>
      </c>
      <c r="T2" s="13" t="s">
        <v>74</v>
      </c>
    </row>
    <row r="3" customFormat="false" ht="94.5" hidden="false" customHeight="true" outlineLevel="0" collapsed="false">
      <c r="A3" s="13" t="s">
        <v>75</v>
      </c>
      <c r="B3" s="13" t="s">
        <v>63</v>
      </c>
      <c r="C3" s="13" t="s">
        <v>64</v>
      </c>
      <c r="D3" s="14" t="s">
        <v>76</v>
      </c>
      <c r="E3" s="14" t="s">
        <v>77</v>
      </c>
      <c r="F3" s="13" t="s">
        <v>20</v>
      </c>
      <c r="G3" s="15" t="s">
        <v>67</v>
      </c>
      <c r="H3" s="14" t="s">
        <v>78</v>
      </c>
      <c r="I3" s="16" t="n">
        <f aca="false">IF(H3="",0,SUMIFS('Keyword List'!$C$2:$C$257,'Keyword List'!$A$2:$A$257,H3))</f>
        <v>720</v>
      </c>
      <c r="J3" s="13" t="n">
        <f aca="false">COUNTIF('Keyword List'!$E$2:$E$257,A3)</f>
        <v>7</v>
      </c>
      <c r="K3" s="16" t="n">
        <f aca="false">SUMIF('Keyword List'!$E$2:$E$257,A3,'Keyword List'!$C$2:$C$257)</f>
        <v>1460</v>
      </c>
      <c r="L3" s="17" t="n">
        <f aca="false">IFERROR(AVERAGEIF('Keyword List'!$E$2:$E$257,A3,'Keyword List'!$D$2:$D$257),0)</f>
        <v>12</v>
      </c>
      <c r="M3" s="14" t="s">
        <v>79</v>
      </c>
      <c r="N3" s="18" t="n">
        <f aca="false">LEN(M3)</f>
        <v>48</v>
      </c>
      <c r="O3" s="14" t="s">
        <v>80</v>
      </c>
      <c r="P3" s="18" t="n">
        <f aca="false">LEN(O3)</f>
        <v>143</v>
      </c>
      <c r="Q3" s="14" t="s">
        <v>81</v>
      </c>
      <c r="R3" s="14" t="s">
        <v>82</v>
      </c>
      <c r="S3" s="14" t="s">
        <v>83</v>
      </c>
      <c r="T3" s="13" t="s">
        <v>74</v>
      </c>
    </row>
    <row r="4" customFormat="false" ht="94.5" hidden="false" customHeight="true" outlineLevel="0" collapsed="false">
      <c r="A4" s="13" t="s">
        <v>84</v>
      </c>
      <c r="B4" s="13" t="s">
        <v>63</v>
      </c>
      <c r="C4" s="13" t="s">
        <v>64</v>
      </c>
      <c r="D4" s="14" t="s">
        <v>85</v>
      </c>
      <c r="E4" s="14" t="s">
        <v>86</v>
      </c>
      <c r="F4" s="13" t="s">
        <v>21</v>
      </c>
      <c r="G4" s="15" t="s">
        <v>67</v>
      </c>
      <c r="H4" s="14" t="s">
        <v>87</v>
      </c>
      <c r="I4" s="16" t="n">
        <f aca="false">IF(H4="",0,SUMIFS('Keyword List'!$C$2:$C$257,'Keyword List'!$A$2:$A$257,H4))</f>
        <v>50</v>
      </c>
      <c r="J4" s="13" t="n">
        <f aca="false">COUNTIF('Keyword List'!$E$2:$E$257,A4)</f>
        <v>2</v>
      </c>
      <c r="K4" s="16" t="n">
        <f aca="false">SUMIF('Keyword List'!$E$2:$E$257,A4,'Keyword List'!$C$2:$C$257)</f>
        <v>100</v>
      </c>
      <c r="L4" s="17" t="n">
        <f aca="false">IFERROR(AVERAGEIF('Keyword List'!$E$2:$E$257,A4,'Keyword List'!$D$2:$D$257),0)</f>
        <v>12</v>
      </c>
      <c r="M4" s="14" t="s">
        <v>88</v>
      </c>
      <c r="N4" s="18" t="n">
        <f aca="false">LEN(M4)</f>
        <v>51</v>
      </c>
      <c r="O4" s="14" t="s">
        <v>89</v>
      </c>
      <c r="P4" s="18" t="n">
        <f aca="false">LEN(O4)</f>
        <v>135</v>
      </c>
      <c r="Q4" s="14" t="s">
        <v>90</v>
      </c>
      <c r="R4" s="14" t="s">
        <v>91</v>
      </c>
      <c r="S4" s="14" t="s">
        <v>92</v>
      </c>
      <c r="T4" s="13" t="s">
        <v>74</v>
      </c>
    </row>
    <row r="5" customFormat="false" ht="94.5" hidden="false" customHeight="true" outlineLevel="0" collapsed="false">
      <c r="A5" s="13" t="s">
        <v>93</v>
      </c>
      <c r="B5" s="13" t="s">
        <v>63</v>
      </c>
      <c r="C5" s="13" t="s">
        <v>64</v>
      </c>
      <c r="D5" s="14" t="s">
        <v>94</v>
      </c>
      <c r="E5" s="14" t="s">
        <v>95</v>
      </c>
      <c r="F5" s="13" t="s">
        <v>21</v>
      </c>
      <c r="G5" s="15" t="s">
        <v>67</v>
      </c>
      <c r="H5" s="14" t="s">
        <v>96</v>
      </c>
      <c r="I5" s="16" t="n">
        <f aca="false">IF(H5="",0,SUMIFS('Keyword List'!$C$2:$C$257,'Keyword List'!$A$2:$A$257,H5))</f>
        <v>210</v>
      </c>
      <c r="J5" s="13" t="n">
        <f aca="false">COUNTIF('Keyword List'!$E$2:$E$257,A5)</f>
        <v>12</v>
      </c>
      <c r="K5" s="16" t="n">
        <f aca="false">SUMIF('Keyword List'!$E$2:$E$257,A5,'Keyword List'!$C$2:$C$257)</f>
        <v>1530</v>
      </c>
      <c r="L5" s="17" t="n">
        <f aca="false">IFERROR(AVERAGEIF('Keyword List'!$E$2:$E$257,A5,'Keyword List'!$D$2:$D$257),0)</f>
        <v>8.33333333333333</v>
      </c>
      <c r="M5" s="14" t="s">
        <v>97</v>
      </c>
      <c r="N5" s="18" t="n">
        <f aca="false">LEN(M5)</f>
        <v>50</v>
      </c>
      <c r="O5" s="14" t="s">
        <v>98</v>
      </c>
      <c r="P5" s="18" t="n">
        <f aca="false">LEN(O5)</f>
        <v>134</v>
      </c>
      <c r="Q5" s="14" t="s">
        <v>99</v>
      </c>
      <c r="R5" s="14" t="s">
        <v>100</v>
      </c>
      <c r="S5" s="14" t="s">
        <v>101</v>
      </c>
      <c r="T5" s="13" t="s">
        <v>74</v>
      </c>
    </row>
    <row r="6" customFormat="false" ht="94.5" hidden="false" customHeight="true" outlineLevel="0" collapsed="false">
      <c r="A6" s="13" t="s">
        <v>102</v>
      </c>
      <c r="B6" s="13" t="s">
        <v>63</v>
      </c>
      <c r="C6" s="13" t="s">
        <v>64</v>
      </c>
      <c r="D6" s="14" t="s">
        <v>103</v>
      </c>
      <c r="E6" s="14" t="s">
        <v>104</v>
      </c>
      <c r="F6" s="13" t="s">
        <v>19</v>
      </c>
      <c r="G6" s="15" t="s">
        <v>67</v>
      </c>
      <c r="H6" s="14" t="s">
        <v>105</v>
      </c>
      <c r="I6" s="16" t="n">
        <f aca="false">IF(H6="",0,SUMIFS('Keyword List'!$C$2:$C$257,'Keyword List'!$A$2:$A$257,H6))</f>
        <v>170</v>
      </c>
      <c r="J6" s="13" t="n">
        <f aca="false">COUNTIF('Keyword List'!$E$2:$E$257,A6)</f>
        <v>8</v>
      </c>
      <c r="K6" s="16" t="n">
        <f aca="false">SUMIF('Keyword List'!$E$2:$E$257,A6,'Keyword List'!$C$2:$C$257)</f>
        <v>940</v>
      </c>
      <c r="L6" s="17" t="n">
        <f aca="false">IFERROR(AVERAGEIF('Keyword List'!$E$2:$E$257,A6,'Keyword List'!$D$2:$D$257),0)</f>
        <v>9.5</v>
      </c>
      <c r="M6" s="14" t="s">
        <v>106</v>
      </c>
      <c r="N6" s="18" t="n">
        <f aca="false">LEN(M6)</f>
        <v>51</v>
      </c>
      <c r="O6" s="14" t="s">
        <v>107</v>
      </c>
      <c r="P6" s="18" t="n">
        <f aca="false">LEN(O6)</f>
        <v>138</v>
      </c>
      <c r="Q6" s="14" t="s">
        <v>108</v>
      </c>
      <c r="R6" s="14" t="s">
        <v>109</v>
      </c>
      <c r="S6" s="14" t="s">
        <v>110</v>
      </c>
      <c r="T6" s="13" t="s">
        <v>74</v>
      </c>
    </row>
    <row r="7" customFormat="false" ht="94.5" hidden="false" customHeight="true" outlineLevel="0" collapsed="false">
      <c r="A7" s="13" t="s">
        <v>111</v>
      </c>
      <c r="B7" s="13" t="s">
        <v>63</v>
      </c>
      <c r="C7" s="13" t="s">
        <v>64</v>
      </c>
      <c r="D7" s="14" t="s">
        <v>112</v>
      </c>
      <c r="E7" s="14" t="s">
        <v>113</v>
      </c>
      <c r="F7" s="13" t="s">
        <v>19</v>
      </c>
      <c r="G7" s="15" t="s">
        <v>67</v>
      </c>
      <c r="H7" s="14" t="s">
        <v>114</v>
      </c>
      <c r="I7" s="16" t="n">
        <f aca="false">IF(H7="",0,SUMIFS('Keyword List'!$C$2:$C$257,'Keyword List'!$A$2:$A$257,H7))</f>
        <v>210</v>
      </c>
      <c r="J7" s="13" t="n">
        <f aca="false">COUNTIF('Keyword List'!$E$2:$E$257,A7)</f>
        <v>6</v>
      </c>
      <c r="K7" s="16" t="n">
        <f aca="false">SUMIF('Keyword List'!$E$2:$E$257,A7,'Keyword List'!$C$2:$C$257)</f>
        <v>590</v>
      </c>
      <c r="L7" s="17" t="n">
        <f aca="false">IFERROR(AVERAGEIF('Keyword List'!$E$2:$E$257,A7,'Keyword List'!$D$2:$D$257),0)</f>
        <v>9</v>
      </c>
      <c r="M7" s="14" t="s">
        <v>115</v>
      </c>
      <c r="N7" s="18" t="n">
        <f aca="false">LEN(M7)</f>
        <v>50</v>
      </c>
      <c r="O7" s="14" t="s">
        <v>116</v>
      </c>
      <c r="P7" s="18" t="n">
        <f aca="false">LEN(O7)</f>
        <v>131</v>
      </c>
      <c r="Q7" s="14" t="s">
        <v>117</v>
      </c>
      <c r="R7" s="14" t="s">
        <v>118</v>
      </c>
      <c r="S7" s="14" t="s">
        <v>119</v>
      </c>
      <c r="T7" s="13" t="s">
        <v>74</v>
      </c>
    </row>
    <row r="8" customFormat="false" ht="94.5" hidden="false" customHeight="true" outlineLevel="0" collapsed="false">
      <c r="A8" s="13" t="s">
        <v>120</v>
      </c>
      <c r="B8" s="13" t="s">
        <v>121</v>
      </c>
      <c r="C8" s="13" t="s">
        <v>122</v>
      </c>
      <c r="D8" s="14" t="s">
        <v>123</v>
      </c>
      <c r="E8" s="14" t="s">
        <v>124</v>
      </c>
      <c r="F8" s="13" t="s">
        <v>20</v>
      </c>
      <c r="G8" s="15" t="s">
        <v>67</v>
      </c>
      <c r="H8" s="14" t="s">
        <v>125</v>
      </c>
      <c r="I8" s="16" t="n">
        <f aca="false">IF(H8="",0,SUMIFS('Keyword List'!$C$2:$C$257,'Keyword List'!$A$2:$A$257,H8))</f>
        <v>110</v>
      </c>
      <c r="J8" s="13" t="n">
        <f aca="false">COUNTIF('Keyword List'!$E$2:$E$257,A8)</f>
        <v>6</v>
      </c>
      <c r="K8" s="16" t="n">
        <f aca="false">SUMIF('Keyword List'!$E$2:$E$257,A8,'Keyword List'!$C$2:$C$257)</f>
        <v>440</v>
      </c>
      <c r="L8" s="17" t="n">
        <f aca="false">IFERROR(AVERAGEIF('Keyword List'!$E$2:$E$257,A8,'Keyword List'!$D$2:$D$257),0)</f>
        <v>5.83333333333333</v>
      </c>
      <c r="M8" s="14" t="s">
        <v>126</v>
      </c>
      <c r="N8" s="18" t="n">
        <f aca="false">LEN(M8)</f>
        <v>56</v>
      </c>
      <c r="O8" s="14" t="s">
        <v>127</v>
      </c>
      <c r="P8" s="18" t="n">
        <f aca="false">LEN(O8)</f>
        <v>129</v>
      </c>
      <c r="Q8" s="14" t="s">
        <v>128</v>
      </c>
      <c r="R8" s="14" t="s">
        <v>129</v>
      </c>
      <c r="S8" s="14" t="s">
        <v>130</v>
      </c>
      <c r="T8" s="13" t="s">
        <v>74</v>
      </c>
    </row>
    <row r="9" customFormat="false" ht="94.5" hidden="false" customHeight="true" outlineLevel="0" collapsed="false">
      <c r="A9" s="13" t="s">
        <v>131</v>
      </c>
      <c r="B9" s="13" t="s">
        <v>121</v>
      </c>
      <c r="C9" s="13" t="s">
        <v>122</v>
      </c>
      <c r="D9" s="14" t="s">
        <v>132</v>
      </c>
      <c r="E9" s="14" t="s">
        <v>133</v>
      </c>
      <c r="F9" s="13" t="s">
        <v>26</v>
      </c>
      <c r="G9" s="15" t="s">
        <v>67</v>
      </c>
      <c r="H9" s="14" t="s">
        <v>134</v>
      </c>
      <c r="I9" s="16" t="n">
        <f aca="false">IF(H9="",0,SUMIFS('Keyword List'!$C$2:$C$257,'Keyword List'!$A$2:$A$257,H9))</f>
        <v>390</v>
      </c>
      <c r="J9" s="13" t="n">
        <f aca="false">COUNTIF('Keyword List'!$E$2:$E$257,A9)</f>
        <v>11</v>
      </c>
      <c r="K9" s="16" t="n">
        <f aca="false">SUMIF('Keyword List'!$E$2:$E$257,A9,'Keyword List'!$C$2:$C$257)</f>
        <v>1650</v>
      </c>
      <c r="L9" s="17" t="n">
        <f aca="false">IFERROR(AVERAGEIF('Keyword List'!$E$2:$E$257,A9,'Keyword List'!$D$2:$D$257),0)</f>
        <v>13.6363636363636</v>
      </c>
      <c r="M9" s="14" t="s">
        <v>135</v>
      </c>
      <c r="N9" s="18" t="n">
        <f aca="false">LEN(M9)</f>
        <v>43</v>
      </c>
      <c r="O9" s="14" t="s">
        <v>136</v>
      </c>
      <c r="P9" s="18" t="n">
        <f aca="false">LEN(O9)</f>
        <v>126</v>
      </c>
      <c r="Q9" s="14" t="s">
        <v>137</v>
      </c>
      <c r="R9" s="14" t="s">
        <v>138</v>
      </c>
      <c r="S9" s="14" t="s">
        <v>139</v>
      </c>
      <c r="T9" s="13" t="s">
        <v>74</v>
      </c>
    </row>
    <row r="10" customFormat="false" ht="94.5" hidden="false" customHeight="true" outlineLevel="0" collapsed="false">
      <c r="A10" s="13" t="s">
        <v>140</v>
      </c>
      <c r="B10" s="13" t="s">
        <v>141</v>
      </c>
      <c r="C10" s="13" t="s">
        <v>142</v>
      </c>
      <c r="D10" s="14" t="s">
        <v>143</v>
      </c>
      <c r="E10" s="14" t="s">
        <v>144</v>
      </c>
      <c r="F10" s="13" t="s">
        <v>26</v>
      </c>
      <c r="G10" s="15" t="s">
        <v>67</v>
      </c>
      <c r="H10" s="14" t="s">
        <v>145</v>
      </c>
      <c r="I10" s="16" t="n">
        <f aca="false">IF(H10="",0,SUMIFS('Keyword List'!$C$2:$C$257,'Keyword List'!$A$2:$A$257,H10))</f>
        <v>110</v>
      </c>
      <c r="J10" s="13" t="n">
        <f aca="false">COUNTIF('Keyword List'!$E$2:$E$257,A10)</f>
        <v>1</v>
      </c>
      <c r="K10" s="16" t="n">
        <f aca="false">SUMIF('Keyword List'!$E$2:$E$257,A10,'Keyword List'!$C$2:$C$257)</f>
        <v>110</v>
      </c>
      <c r="L10" s="17" t="n">
        <f aca="false">IFERROR(AVERAGEIF('Keyword List'!$E$2:$E$257,A10,'Keyword List'!$D$2:$D$257),0)</f>
        <v>7</v>
      </c>
      <c r="M10" s="14" t="s">
        <v>146</v>
      </c>
      <c r="N10" s="18" t="n">
        <f aca="false">LEN(M10)</f>
        <v>45</v>
      </c>
      <c r="O10" s="14" t="s">
        <v>147</v>
      </c>
      <c r="P10" s="18" t="n">
        <f aca="false">LEN(O10)</f>
        <v>119</v>
      </c>
      <c r="Q10" s="14" t="s">
        <v>148</v>
      </c>
      <c r="R10" s="14" t="s">
        <v>149</v>
      </c>
      <c r="S10" s="14" t="s">
        <v>150</v>
      </c>
      <c r="T10" s="13" t="s">
        <v>74</v>
      </c>
    </row>
    <row r="11" customFormat="false" ht="94.5" hidden="false" customHeight="true" outlineLevel="0" collapsed="false">
      <c r="A11" s="13" t="s">
        <v>151</v>
      </c>
      <c r="B11" s="13" t="s">
        <v>63</v>
      </c>
      <c r="C11" s="13" t="s">
        <v>64</v>
      </c>
      <c r="D11" s="14" t="s">
        <v>152</v>
      </c>
      <c r="E11" s="14" t="s">
        <v>153</v>
      </c>
      <c r="F11" s="13" t="s">
        <v>21</v>
      </c>
      <c r="G11" s="19" t="s">
        <v>154</v>
      </c>
      <c r="H11" s="14" t="s">
        <v>155</v>
      </c>
      <c r="I11" s="16" t="n">
        <f aca="false">IF(H11="",0,SUMIFS('Keyword List'!$C$2:$C$257,'Keyword List'!$A$2:$A$257,H11))</f>
        <v>480</v>
      </c>
      <c r="J11" s="13" t="n">
        <f aca="false">COUNTIF('Keyword List'!$E$2:$E$257,A11)</f>
        <v>10</v>
      </c>
      <c r="K11" s="16" t="n">
        <f aca="false">SUMIF('Keyword List'!$E$2:$E$257,A11,'Keyword List'!$C$2:$C$257)</f>
        <v>1740</v>
      </c>
      <c r="L11" s="17" t="n">
        <f aca="false">IFERROR(AVERAGEIF('Keyword List'!$E$2:$E$257,A11,'Keyword List'!$D$2:$D$257),0)</f>
        <v>13.1</v>
      </c>
      <c r="M11" s="14" t="s">
        <v>156</v>
      </c>
      <c r="N11" s="18" t="n">
        <f aca="false">LEN(M11)</f>
        <v>52</v>
      </c>
      <c r="O11" s="14" t="s">
        <v>157</v>
      </c>
      <c r="P11" s="18" t="n">
        <f aca="false">LEN(O11)</f>
        <v>116</v>
      </c>
      <c r="Q11" s="14" t="s">
        <v>158</v>
      </c>
      <c r="R11" s="14" t="s">
        <v>159</v>
      </c>
      <c r="S11" s="14" t="s">
        <v>160</v>
      </c>
      <c r="T11" s="13" t="s">
        <v>161</v>
      </c>
    </row>
    <row r="12" customFormat="false" ht="94.5" hidden="false" customHeight="true" outlineLevel="0" collapsed="false">
      <c r="A12" s="13" t="s">
        <v>162</v>
      </c>
      <c r="B12" s="13" t="s">
        <v>63</v>
      </c>
      <c r="C12" s="13" t="s">
        <v>64</v>
      </c>
      <c r="D12" s="14" t="s">
        <v>163</v>
      </c>
      <c r="E12" s="14" t="s">
        <v>164</v>
      </c>
      <c r="F12" s="13" t="s">
        <v>22</v>
      </c>
      <c r="G12" s="19" t="s">
        <v>154</v>
      </c>
      <c r="H12" s="14" t="s">
        <v>165</v>
      </c>
      <c r="I12" s="16" t="n">
        <f aca="false">IF(H12="",0,SUMIFS('Keyword List'!$C$2:$C$257,'Keyword List'!$A$2:$A$257,H12))</f>
        <v>720</v>
      </c>
      <c r="J12" s="13" t="n">
        <f aca="false">COUNTIF('Keyword List'!$E$2:$E$257,A12)</f>
        <v>27</v>
      </c>
      <c r="K12" s="16" t="n">
        <f aca="false">SUMIF('Keyword List'!$E$2:$E$257,A12,'Keyword List'!$C$2:$C$257)</f>
        <v>5370</v>
      </c>
      <c r="L12" s="17" t="n">
        <f aca="false">IFERROR(AVERAGEIF('Keyword List'!$E$2:$E$257,A12,'Keyword List'!$D$2:$D$257),0)</f>
        <v>12.1481481481481</v>
      </c>
      <c r="M12" s="14" t="s">
        <v>166</v>
      </c>
      <c r="N12" s="18" t="n">
        <f aca="false">LEN(M12)</f>
        <v>49</v>
      </c>
      <c r="O12" s="14" t="s">
        <v>167</v>
      </c>
      <c r="P12" s="18" t="n">
        <f aca="false">LEN(O12)</f>
        <v>140</v>
      </c>
      <c r="Q12" s="14" t="s">
        <v>168</v>
      </c>
      <c r="R12" s="14" t="s">
        <v>169</v>
      </c>
      <c r="S12" s="14" t="s">
        <v>170</v>
      </c>
      <c r="T12" s="13" t="s">
        <v>161</v>
      </c>
    </row>
    <row r="13" customFormat="false" ht="94.5" hidden="false" customHeight="true" outlineLevel="0" collapsed="false">
      <c r="A13" s="13" t="s">
        <v>171</v>
      </c>
      <c r="B13" s="13" t="s">
        <v>121</v>
      </c>
      <c r="C13" s="13" t="s">
        <v>64</v>
      </c>
      <c r="D13" s="14" t="s">
        <v>172</v>
      </c>
      <c r="E13" s="14" t="s">
        <v>173</v>
      </c>
      <c r="F13" s="13" t="s">
        <v>22</v>
      </c>
      <c r="G13" s="19" t="s">
        <v>154</v>
      </c>
      <c r="H13" s="14" t="s">
        <v>174</v>
      </c>
      <c r="I13" s="16" t="n">
        <f aca="false">IF(H13="",0,SUMIFS('Keyword List'!$C$2:$C$257,'Keyword List'!$A$2:$A$257,H13))</f>
        <v>590</v>
      </c>
      <c r="J13" s="13" t="n">
        <f aca="false">COUNTIF('Keyword List'!$E$2:$E$257,A13)</f>
        <v>6</v>
      </c>
      <c r="K13" s="16" t="n">
        <f aca="false">SUMIF('Keyword List'!$E$2:$E$257,A13,'Keyword List'!$C$2:$C$257)</f>
        <v>1220</v>
      </c>
      <c r="L13" s="17" t="n">
        <f aca="false">IFERROR(AVERAGEIF('Keyword List'!$E$2:$E$257,A13,'Keyword List'!$D$2:$D$257),0)</f>
        <v>8.66666666666667</v>
      </c>
      <c r="M13" s="14" t="s">
        <v>175</v>
      </c>
      <c r="N13" s="18" t="n">
        <f aca="false">LEN(M13)</f>
        <v>47</v>
      </c>
      <c r="O13" s="14" t="s">
        <v>176</v>
      </c>
      <c r="P13" s="18" t="n">
        <f aca="false">LEN(O13)</f>
        <v>124</v>
      </c>
      <c r="Q13" s="14" t="s">
        <v>177</v>
      </c>
      <c r="R13" s="14" t="s">
        <v>178</v>
      </c>
      <c r="S13" s="14" t="s">
        <v>179</v>
      </c>
      <c r="T13" s="13" t="s">
        <v>161</v>
      </c>
    </row>
    <row r="14" customFormat="false" ht="94.5" hidden="false" customHeight="true" outlineLevel="0" collapsed="false">
      <c r="A14" s="13" t="s">
        <v>180</v>
      </c>
      <c r="B14" s="13" t="s">
        <v>63</v>
      </c>
      <c r="C14" s="13" t="s">
        <v>64</v>
      </c>
      <c r="D14" s="14" t="s">
        <v>181</v>
      </c>
      <c r="E14" s="14" t="s">
        <v>182</v>
      </c>
      <c r="F14" s="13" t="s">
        <v>22</v>
      </c>
      <c r="G14" s="19" t="s">
        <v>154</v>
      </c>
      <c r="H14" s="14" t="s">
        <v>183</v>
      </c>
      <c r="I14" s="16" t="n">
        <f aca="false">IF(H14="",0,SUMIFS('Keyword List'!$C$2:$C$257,'Keyword List'!$A$2:$A$257,H14))</f>
        <v>480</v>
      </c>
      <c r="J14" s="13" t="n">
        <f aca="false">COUNTIF('Keyword List'!$E$2:$E$257,A14)</f>
        <v>15</v>
      </c>
      <c r="K14" s="16" t="n">
        <f aca="false">SUMIF('Keyword List'!$E$2:$E$257,A14,'Keyword List'!$C$2:$C$257)</f>
        <v>1900</v>
      </c>
      <c r="L14" s="17" t="n">
        <f aca="false">IFERROR(AVERAGEIF('Keyword List'!$E$2:$E$257,A14,'Keyword List'!$D$2:$D$257),0)</f>
        <v>9.8</v>
      </c>
      <c r="M14" s="14" t="s">
        <v>184</v>
      </c>
      <c r="N14" s="18" t="n">
        <f aca="false">LEN(M14)</f>
        <v>53</v>
      </c>
      <c r="O14" s="14" t="s">
        <v>185</v>
      </c>
      <c r="P14" s="18" t="n">
        <f aca="false">LEN(O14)</f>
        <v>134</v>
      </c>
      <c r="Q14" s="14" t="s">
        <v>186</v>
      </c>
      <c r="R14" s="14" t="s">
        <v>187</v>
      </c>
      <c r="S14" s="14" t="s">
        <v>188</v>
      </c>
      <c r="T14" s="13" t="s">
        <v>161</v>
      </c>
    </row>
    <row r="15" customFormat="false" ht="94.5" hidden="false" customHeight="true" outlineLevel="0" collapsed="false">
      <c r="A15" s="13" t="s">
        <v>189</v>
      </c>
      <c r="B15" s="13" t="s">
        <v>121</v>
      </c>
      <c r="C15" s="13" t="s">
        <v>122</v>
      </c>
      <c r="D15" s="14" t="s">
        <v>190</v>
      </c>
      <c r="E15" s="14" t="s">
        <v>191</v>
      </c>
      <c r="F15" s="13" t="s">
        <v>22</v>
      </c>
      <c r="G15" s="19" t="s">
        <v>154</v>
      </c>
      <c r="H15" s="14" t="s">
        <v>192</v>
      </c>
      <c r="I15" s="16" t="n">
        <f aca="false">IF(H15="",0,SUMIFS('Keyword List'!$C$2:$C$257,'Keyword List'!$A$2:$A$257,H15))</f>
        <v>210</v>
      </c>
      <c r="J15" s="13" t="n">
        <f aca="false">COUNTIF('Keyword List'!$E$2:$E$257,A15)</f>
        <v>12</v>
      </c>
      <c r="K15" s="16" t="n">
        <f aca="false">SUMIF('Keyword List'!$E$2:$E$257,A15,'Keyword List'!$C$2:$C$257)</f>
        <v>1430</v>
      </c>
      <c r="L15" s="17" t="n">
        <f aca="false">IFERROR(AVERAGEIF('Keyword List'!$E$2:$E$257,A15,'Keyword List'!$D$2:$D$257),0)</f>
        <v>6.41666666666667</v>
      </c>
      <c r="M15" s="14" t="s">
        <v>193</v>
      </c>
      <c r="N15" s="18" t="n">
        <f aca="false">LEN(M15)</f>
        <v>53</v>
      </c>
      <c r="O15" s="14" t="s">
        <v>194</v>
      </c>
      <c r="P15" s="18" t="n">
        <f aca="false">LEN(O15)</f>
        <v>133</v>
      </c>
      <c r="Q15" s="14" t="s">
        <v>195</v>
      </c>
      <c r="R15" s="14" t="s">
        <v>196</v>
      </c>
      <c r="S15" s="14" t="s">
        <v>197</v>
      </c>
      <c r="T15" s="13" t="s">
        <v>161</v>
      </c>
    </row>
    <row r="16" customFormat="false" ht="94.5" hidden="false" customHeight="true" outlineLevel="0" collapsed="false">
      <c r="A16" s="13" t="s">
        <v>198</v>
      </c>
      <c r="B16" s="13" t="s">
        <v>121</v>
      </c>
      <c r="C16" s="13" t="s">
        <v>64</v>
      </c>
      <c r="D16" s="14" t="s">
        <v>199</v>
      </c>
      <c r="E16" s="14" t="s">
        <v>200</v>
      </c>
      <c r="F16" s="13" t="s">
        <v>21</v>
      </c>
      <c r="G16" s="19" t="s">
        <v>154</v>
      </c>
      <c r="H16" s="14" t="s">
        <v>201</v>
      </c>
      <c r="I16" s="16" t="n">
        <f aca="false">IF(H16="",0,SUMIFS('Keyword List'!$C$2:$C$257,'Keyword List'!$A$2:$A$257,H16))</f>
        <v>590</v>
      </c>
      <c r="J16" s="13" t="n">
        <f aca="false">COUNTIF('Keyword List'!$E$2:$E$257,A16)</f>
        <v>23</v>
      </c>
      <c r="K16" s="16" t="n">
        <f aca="false">SUMIF('Keyword List'!$E$2:$E$257,A16,'Keyword List'!$C$2:$C$257)</f>
        <v>8650</v>
      </c>
      <c r="L16" s="17" t="n">
        <f aca="false">IFERROR(AVERAGEIF('Keyword List'!$E$2:$E$257,A16,'Keyword List'!$D$2:$D$257),0)</f>
        <v>9.69565217391304</v>
      </c>
      <c r="M16" s="14" t="s">
        <v>202</v>
      </c>
      <c r="N16" s="18" t="n">
        <f aca="false">LEN(M16)</f>
        <v>50</v>
      </c>
      <c r="O16" s="14" t="s">
        <v>203</v>
      </c>
      <c r="P16" s="18" t="n">
        <f aca="false">LEN(O16)</f>
        <v>124</v>
      </c>
      <c r="Q16" s="14" t="s">
        <v>204</v>
      </c>
      <c r="R16" s="14" t="s">
        <v>205</v>
      </c>
      <c r="S16" s="14" t="s">
        <v>206</v>
      </c>
      <c r="T16" s="13" t="s">
        <v>161</v>
      </c>
    </row>
    <row r="17" customFormat="false" ht="94.5" hidden="false" customHeight="true" outlineLevel="0" collapsed="false">
      <c r="A17" s="13" t="s">
        <v>207</v>
      </c>
      <c r="B17" s="13" t="s">
        <v>121</v>
      </c>
      <c r="C17" s="13" t="s">
        <v>122</v>
      </c>
      <c r="D17" s="14" t="s">
        <v>208</v>
      </c>
      <c r="E17" s="14" t="s">
        <v>209</v>
      </c>
      <c r="F17" s="13" t="s">
        <v>21</v>
      </c>
      <c r="G17" s="19" t="s">
        <v>154</v>
      </c>
      <c r="H17" s="14" t="s">
        <v>210</v>
      </c>
      <c r="I17" s="16" t="n">
        <f aca="false">IF(H17="",0,SUMIFS('Keyword List'!$C$2:$C$257,'Keyword List'!$A$2:$A$257,H17))</f>
        <v>260</v>
      </c>
      <c r="J17" s="13" t="n">
        <f aca="false">COUNTIF('Keyword List'!$E$2:$E$257,A17)</f>
        <v>1</v>
      </c>
      <c r="K17" s="16" t="n">
        <f aca="false">SUMIF('Keyword List'!$E$2:$E$257,A17,'Keyword List'!$C$2:$C$257)</f>
        <v>260</v>
      </c>
      <c r="L17" s="17" t="n">
        <f aca="false">IFERROR(AVERAGEIF('Keyword List'!$E$2:$E$257,A17,'Keyword List'!$D$2:$D$257),0)</f>
        <v>11</v>
      </c>
      <c r="M17" s="14" t="s">
        <v>211</v>
      </c>
      <c r="N17" s="18" t="n">
        <f aca="false">LEN(M17)</f>
        <v>49</v>
      </c>
      <c r="O17" s="14" t="s">
        <v>212</v>
      </c>
      <c r="P17" s="18" t="n">
        <f aca="false">LEN(O17)</f>
        <v>125</v>
      </c>
      <c r="Q17" s="14" t="s">
        <v>213</v>
      </c>
      <c r="R17" s="14" t="s">
        <v>214</v>
      </c>
      <c r="S17" s="14" t="s">
        <v>215</v>
      </c>
      <c r="T17" s="13" t="s">
        <v>161</v>
      </c>
    </row>
    <row r="18" customFormat="false" ht="94.5" hidden="false" customHeight="true" outlineLevel="0" collapsed="false">
      <c r="A18" s="13" t="s">
        <v>216</v>
      </c>
      <c r="B18" s="13" t="s">
        <v>141</v>
      </c>
      <c r="C18" s="13" t="s">
        <v>142</v>
      </c>
      <c r="D18" s="14" t="s">
        <v>217</v>
      </c>
      <c r="E18" s="14" t="s">
        <v>218</v>
      </c>
      <c r="F18" s="13" t="s">
        <v>21</v>
      </c>
      <c r="G18" s="19" t="s">
        <v>154</v>
      </c>
      <c r="H18" s="14" t="s">
        <v>219</v>
      </c>
      <c r="I18" s="16" t="n">
        <f aca="false">IF(H18="",0,SUMIFS('Keyword List'!$C$2:$C$257,'Keyword List'!$A$2:$A$257,H18))</f>
        <v>70</v>
      </c>
      <c r="J18" s="13" t="n">
        <f aca="false">COUNTIF('Keyword List'!$E$2:$E$257,A18)</f>
        <v>4</v>
      </c>
      <c r="K18" s="16" t="n">
        <f aca="false">SUMIF('Keyword List'!$E$2:$E$257,A18,'Keyword List'!$C$2:$C$257)</f>
        <v>220</v>
      </c>
      <c r="L18" s="17" t="n">
        <f aca="false">IFERROR(AVERAGEIF('Keyword List'!$E$2:$E$257,A18,'Keyword List'!$D$2:$D$257),0)</f>
        <v>9.75</v>
      </c>
      <c r="M18" s="14" t="s">
        <v>220</v>
      </c>
      <c r="N18" s="18" t="n">
        <f aca="false">LEN(M18)</f>
        <v>41</v>
      </c>
      <c r="O18" s="14" t="s">
        <v>221</v>
      </c>
      <c r="P18" s="18" t="n">
        <f aca="false">LEN(O18)</f>
        <v>106</v>
      </c>
      <c r="Q18" s="14" t="s">
        <v>222</v>
      </c>
      <c r="R18" s="14" t="s">
        <v>223</v>
      </c>
      <c r="S18" s="14" t="s">
        <v>224</v>
      </c>
      <c r="T18" s="13" t="s">
        <v>161</v>
      </c>
    </row>
    <row r="19" customFormat="false" ht="94.5" hidden="false" customHeight="true" outlineLevel="0" collapsed="false">
      <c r="A19" s="13" t="s">
        <v>225</v>
      </c>
      <c r="B19" s="13" t="s">
        <v>121</v>
      </c>
      <c r="C19" s="13" t="s">
        <v>64</v>
      </c>
      <c r="D19" s="14" t="s">
        <v>226</v>
      </c>
      <c r="E19" s="14" t="s">
        <v>227</v>
      </c>
      <c r="F19" s="13" t="s">
        <v>23</v>
      </c>
      <c r="G19" s="19" t="s">
        <v>154</v>
      </c>
      <c r="H19" s="14" t="s">
        <v>228</v>
      </c>
      <c r="I19" s="16" t="n">
        <f aca="false">IF(H19="",0,SUMIFS('Keyword List'!$C$2:$C$257,'Keyword List'!$A$2:$A$257,H19))</f>
        <v>1300</v>
      </c>
      <c r="J19" s="13" t="n">
        <f aca="false">COUNTIF('Keyword List'!$E$2:$E$257,A19)</f>
        <v>7</v>
      </c>
      <c r="K19" s="16" t="n">
        <f aca="false">SUMIF('Keyword List'!$E$2:$E$257,A19,'Keyword List'!$C$2:$C$257)</f>
        <v>3270</v>
      </c>
      <c r="L19" s="17" t="n">
        <f aca="false">IFERROR(AVERAGEIF('Keyword List'!$E$2:$E$257,A19,'Keyword List'!$D$2:$D$257),0)</f>
        <v>14.2857142857143</v>
      </c>
      <c r="M19" s="14" t="s">
        <v>229</v>
      </c>
      <c r="N19" s="18" t="n">
        <f aca="false">LEN(M19)</f>
        <v>51</v>
      </c>
      <c r="O19" s="14" t="s">
        <v>230</v>
      </c>
      <c r="P19" s="18" t="n">
        <f aca="false">LEN(O19)</f>
        <v>133</v>
      </c>
      <c r="Q19" s="14" t="s">
        <v>231</v>
      </c>
      <c r="R19" s="14" t="s">
        <v>232</v>
      </c>
      <c r="S19" s="14" t="s">
        <v>233</v>
      </c>
      <c r="T19" s="13" t="s">
        <v>161</v>
      </c>
    </row>
    <row r="20" customFormat="false" ht="94.5" hidden="false" customHeight="true" outlineLevel="0" collapsed="false">
      <c r="A20" s="13" t="s">
        <v>234</v>
      </c>
      <c r="B20" s="13" t="s">
        <v>121</v>
      </c>
      <c r="C20" s="13" t="s">
        <v>64</v>
      </c>
      <c r="D20" s="14" t="s">
        <v>235</v>
      </c>
      <c r="E20" s="14" t="s">
        <v>236</v>
      </c>
      <c r="F20" s="13" t="s">
        <v>23</v>
      </c>
      <c r="G20" s="19" t="s">
        <v>154</v>
      </c>
      <c r="H20" s="14" t="s">
        <v>237</v>
      </c>
      <c r="I20" s="16" t="n">
        <f aca="false">IF(H20="",0,SUMIFS('Keyword List'!$C$2:$C$257,'Keyword List'!$A$2:$A$257,H20))</f>
        <v>1300</v>
      </c>
      <c r="J20" s="13" t="n">
        <f aca="false">COUNTIF('Keyword List'!$E$2:$E$257,A20)</f>
        <v>11</v>
      </c>
      <c r="K20" s="16" t="n">
        <f aca="false">SUMIF('Keyword List'!$E$2:$E$257,A20,'Keyword List'!$C$2:$C$257)</f>
        <v>4360</v>
      </c>
      <c r="L20" s="17" t="n">
        <f aca="false">IFERROR(AVERAGEIF('Keyword List'!$E$2:$E$257,A20,'Keyword List'!$D$2:$D$257),0)</f>
        <v>12.4545454545455</v>
      </c>
      <c r="M20" s="14" t="s">
        <v>238</v>
      </c>
      <c r="N20" s="18" t="n">
        <f aca="false">LEN(M20)</f>
        <v>53</v>
      </c>
      <c r="O20" s="14" t="s">
        <v>239</v>
      </c>
      <c r="P20" s="18" t="n">
        <f aca="false">LEN(O20)</f>
        <v>131</v>
      </c>
      <c r="Q20" s="14" t="s">
        <v>240</v>
      </c>
      <c r="R20" s="14" t="s">
        <v>241</v>
      </c>
      <c r="S20" s="14" t="s">
        <v>242</v>
      </c>
      <c r="T20" s="13" t="s">
        <v>161</v>
      </c>
    </row>
    <row r="21" customFormat="false" ht="94.5" hidden="false" customHeight="true" outlineLevel="0" collapsed="false">
      <c r="A21" s="13" t="s">
        <v>243</v>
      </c>
      <c r="B21" s="13" t="s">
        <v>121</v>
      </c>
      <c r="C21" s="13" t="s">
        <v>64</v>
      </c>
      <c r="D21" s="14" t="s">
        <v>244</v>
      </c>
      <c r="E21" s="14" t="s">
        <v>245</v>
      </c>
      <c r="F21" s="13" t="s">
        <v>23</v>
      </c>
      <c r="G21" s="19" t="s">
        <v>154</v>
      </c>
      <c r="H21" s="14" t="s">
        <v>246</v>
      </c>
      <c r="I21" s="16" t="n">
        <f aca="false">IF(H21="",0,SUMIFS('Keyword List'!$C$2:$C$257,'Keyword List'!$A$2:$A$257,H21))</f>
        <v>720</v>
      </c>
      <c r="J21" s="13" t="n">
        <f aca="false">COUNTIF('Keyword List'!$E$2:$E$257,A21)</f>
        <v>9</v>
      </c>
      <c r="K21" s="16" t="n">
        <f aca="false">SUMIF('Keyword List'!$E$2:$E$257,A21,'Keyword List'!$C$2:$C$257)</f>
        <v>3230</v>
      </c>
      <c r="L21" s="17" t="n">
        <f aca="false">IFERROR(AVERAGEIF('Keyword List'!$E$2:$E$257,A21,'Keyword List'!$D$2:$D$257),0)</f>
        <v>10.6666666666667</v>
      </c>
      <c r="M21" s="14" t="s">
        <v>247</v>
      </c>
      <c r="N21" s="18" t="n">
        <f aca="false">LEN(M21)</f>
        <v>48</v>
      </c>
      <c r="O21" s="14" t="s">
        <v>248</v>
      </c>
      <c r="P21" s="18" t="n">
        <f aca="false">LEN(O21)</f>
        <v>133</v>
      </c>
      <c r="Q21" s="14" t="s">
        <v>249</v>
      </c>
      <c r="R21" s="14" t="s">
        <v>250</v>
      </c>
      <c r="S21" s="14" t="s">
        <v>251</v>
      </c>
      <c r="T21" s="13" t="s">
        <v>161</v>
      </c>
    </row>
    <row r="22" customFormat="false" ht="94.5" hidden="false" customHeight="true" outlineLevel="0" collapsed="false">
      <c r="A22" s="13" t="s">
        <v>252</v>
      </c>
      <c r="B22" s="13" t="s">
        <v>121</v>
      </c>
      <c r="C22" s="13" t="s">
        <v>64</v>
      </c>
      <c r="D22" s="14" t="s">
        <v>253</v>
      </c>
      <c r="E22" s="14" t="s">
        <v>254</v>
      </c>
      <c r="F22" s="13" t="s">
        <v>23</v>
      </c>
      <c r="G22" s="19" t="s">
        <v>154</v>
      </c>
      <c r="H22" s="14" t="s">
        <v>255</v>
      </c>
      <c r="I22" s="16" t="n">
        <f aca="false">IF(H22="",0,SUMIFS('Keyword List'!$C$2:$C$257,'Keyword List'!$A$2:$A$257,H22))</f>
        <v>1000</v>
      </c>
      <c r="J22" s="13" t="n">
        <f aca="false">COUNTIF('Keyword List'!$E$2:$E$257,A22)</f>
        <v>10</v>
      </c>
      <c r="K22" s="16" t="n">
        <f aca="false">SUMIF('Keyword List'!$E$2:$E$257,A22,'Keyword List'!$C$2:$C$257)</f>
        <v>4100</v>
      </c>
      <c r="L22" s="17" t="n">
        <f aca="false">IFERROR(AVERAGEIF('Keyword List'!$E$2:$E$257,A22,'Keyword List'!$D$2:$D$257),0)</f>
        <v>13.5</v>
      </c>
      <c r="M22" s="14" t="s">
        <v>256</v>
      </c>
      <c r="N22" s="18" t="n">
        <f aca="false">LEN(M22)</f>
        <v>40</v>
      </c>
      <c r="O22" s="14" t="s">
        <v>257</v>
      </c>
      <c r="P22" s="18" t="n">
        <f aca="false">LEN(O22)</f>
        <v>125</v>
      </c>
      <c r="Q22" s="14" t="s">
        <v>258</v>
      </c>
      <c r="R22" s="14" t="s">
        <v>259</v>
      </c>
      <c r="S22" s="14" t="s">
        <v>260</v>
      </c>
      <c r="T22" s="13" t="s">
        <v>161</v>
      </c>
    </row>
    <row r="23" customFormat="false" ht="94.5" hidden="false" customHeight="true" outlineLevel="0" collapsed="false">
      <c r="A23" s="13" t="s">
        <v>261</v>
      </c>
      <c r="B23" s="13" t="s">
        <v>141</v>
      </c>
      <c r="C23" s="13" t="s">
        <v>122</v>
      </c>
      <c r="D23" s="14" t="s">
        <v>262</v>
      </c>
      <c r="E23" s="14" t="s">
        <v>263</v>
      </c>
      <c r="F23" s="13" t="s">
        <v>23</v>
      </c>
      <c r="G23" s="19" t="s">
        <v>154</v>
      </c>
      <c r="H23" s="14" t="s">
        <v>264</v>
      </c>
      <c r="I23" s="16" t="n">
        <f aca="false">IF(H23="",0,SUMIFS('Keyword List'!$C$2:$C$257,'Keyword List'!$A$2:$A$257,H23))</f>
        <v>320</v>
      </c>
      <c r="J23" s="13" t="n">
        <f aca="false">COUNTIF('Keyword List'!$E$2:$E$257,A23)</f>
        <v>4</v>
      </c>
      <c r="K23" s="16" t="n">
        <f aca="false">SUMIF('Keyword List'!$E$2:$E$257,A23,'Keyword List'!$C$2:$C$257)</f>
        <v>840</v>
      </c>
      <c r="L23" s="17" t="n">
        <f aca="false">IFERROR(AVERAGEIF('Keyword List'!$E$2:$E$257,A23,'Keyword List'!$D$2:$D$257),0)</f>
        <v>12.25</v>
      </c>
      <c r="M23" s="14" t="s">
        <v>265</v>
      </c>
      <c r="N23" s="18" t="n">
        <f aca="false">LEN(M23)</f>
        <v>46</v>
      </c>
      <c r="O23" s="14" t="s">
        <v>266</v>
      </c>
      <c r="P23" s="18" t="n">
        <f aca="false">LEN(O23)</f>
        <v>126</v>
      </c>
      <c r="Q23" s="14" t="s">
        <v>267</v>
      </c>
      <c r="R23" s="14" t="s">
        <v>268</v>
      </c>
      <c r="S23" s="14" t="s">
        <v>269</v>
      </c>
      <c r="T23" s="13" t="s">
        <v>161</v>
      </c>
    </row>
    <row r="24" customFormat="false" ht="94.5" hidden="false" customHeight="true" outlineLevel="0" collapsed="false">
      <c r="A24" s="13" t="s">
        <v>270</v>
      </c>
      <c r="B24" s="13" t="s">
        <v>141</v>
      </c>
      <c r="C24" s="13" t="s">
        <v>122</v>
      </c>
      <c r="D24" s="14" t="s">
        <v>271</v>
      </c>
      <c r="E24" s="14" t="s">
        <v>272</v>
      </c>
      <c r="F24" s="13" t="s">
        <v>23</v>
      </c>
      <c r="G24" s="19" t="s">
        <v>154</v>
      </c>
      <c r="H24" s="14" t="s">
        <v>273</v>
      </c>
      <c r="I24" s="16" t="n">
        <f aca="false">IF(H24="",0,SUMIFS('Keyword List'!$C$2:$C$257,'Keyword List'!$A$2:$A$257,H24))</f>
        <v>390</v>
      </c>
      <c r="J24" s="13" t="n">
        <f aca="false">COUNTIF('Keyword List'!$E$2:$E$257,A24)</f>
        <v>3</v>
      </c>
      <c r="K24" s="16" t="n">
        <f aca="false">SUMIF('Keyword List'!$E$2:$E$257,A24,'Keyword List'!$C$2:$C$257)</f>
        <v>650</v>
      </c>
      <c r="L24" s="17" t="n">
        <f aca="false">IFERROR(AVERAGEIF('Keyword List'!$E$2:$E$257,A24,'Keyword List'!$D$2:$D$257),0)</f>
        <v>13.6666666666667</v>
      </c>
      <c r="M24" s="14" t="s">
        <v>274</v>
      </c>
      <c r="N24" s="18" t="n">
        <f aca="false">LEN(M24)</f>
        <v>49</v>
      </c>
      <c r="O24" s="14" t="s">
        <v>275</v>
      </c>
      <c r="P24" s="18" t="n">
        <f aca="false">LEN(O24)</f>
        <v>125</v>
      </c>
      <c r="Q24" s="14" t="s">
        <v>276</v>
      </c>
      <c r="R24" s="14" t="s">
        <v>277</v>
      </c>
      <c r="S24" s="14" t="s">
        <v>278</v>
      </c>
      <c r="T24" s="13" t="s">
        <v>161</v>
      </c>
    </row>
    <row r="25" customFormat="false" ht="94.5" hidden="false" customHeight="true" outlineLevel="0" collapsed="false">
      <c r="A25" s="13" t="s">
        <v>279</v>
      </c>
      <c r="B25" s="13" t="s">
        <v>141</v>
      </c>
      <c r="C25" s="13" t="s">
        <v>122</v>
      </c>
      <c r="D25" s="14" t="s">
        <v>280</v>
      </c>
      <c r="E25" s="14" t="s">
        <v>281</v>
      </c>
      <c r="F25" s="13" t="s">
        <v>23</v>
      </c>
      <c r="G25" s="19" t="s">
        <v>154</v>
      </c>
      <c r="H25" s="14" t="s">
        <v>282</v>
      </c>
      <c r="I25" s="16" t="n">
        <f aca="false">IF(H25="",0,SUMIFS('Keyword List'!$C$2:$C$257,'Keyword List'!$A$2:$A$257,H25))</f>
        <v>90</v>
      </c>
      <c r="J25" s="13" t="n">
        <f aca="false">COUNTIF('Keyword List'!$E$2:$E$257,A25)</f>
        <v>3</v>
      </c>
      <c r="K25" s="16" t="n">
        <f aca="false">SUMIF('Keyword List'!$E$2:$E$257,A25,'Keyword List'!$C$2:$C$257)</f>
        <v>250</v>
      </c>
      <c r="L25" s="17" t="n">
        <f aca="false">IFERROR(AVERAGEIF('Keyword List'!$E$2:$E$257,A25,'Keyword List'!$D$2:$D$257),0)</f>
        <v>8</v>
      </c>
      <c r="M25" s="14" t="s">
        <v>283</v>
      </c>
      <c r="N25" s="18" t="n">
        <f aca="false">LEN(M25)</f>
        <v>51</v>
      </c>
      <c r="O25" s="14" t="s">
        <v>284</v>
      </c>
      <c r="P25" s="18" t="n">
        <f aca="false">LEN(O25)</f>
        <v>126</v>
      </c>
      <c r="Q25" s="14" t="s">
        <v>285</v>
      </c>
      <c r="R25" s="14" t="s">
        <v>286</v>
      </c>
      <c r="S25" s="14" t="s">
        <v>287</v>
      </c>
      <c r="T25" s="13" t="s">
        <v>161</v>
      </c>
    </row>
    <row r="26" customFormat="false" ht="94.5" hidden="false" customHeight="true" outlineLevel="0" collapsed="false">
      <c r="A26" s="13" t="s">
        <v>288</v>
      </c>
      <c r="B26" s="13" t="s">
        <v>289</v>
      </c>
      <c r="C26" s="13" t="s">
        <v>142</v>
      </c>
      <c r="D26" s="14" t="s">
        <v>290</v>
      </c>
      <c r="E26" s="14" t="s">
        <v>291</v>
      </c>
      <c r="F26" s="13" t="s">
        <v>23</v>
      </c>
      <c r="G26" s="19" t="s">
        <v>154</v>
      </c>
      <c r="H26" s="14" t="s">
        <v>292</v>
      </c>
      <c r="I26" s="16" t="n">
        <f aca="false">IF(H26="",0,SUMIFS('Keyword List'!$C$2:$C$257,'Keyword List'!$A$2:$A$257,H26))</f>
        <v>480</v>
      </c>
      <c r="J26" s="13" t="n">
        <f aca="false">COUNTIF('Keyword List'!$E$2:$E$257,A26)</f>
        <v>1</v>
      </c>
      <c r="K26" s="16" t="n">
        <f aca="false">SUMIF('Keyword List'!$E$2:$E$257,A26,'Keyword List'!$C$2:$C$257)</f>
        <v>480</v>
      </c>
      <c r="L26" s="17" t="n">
        <f aca="false">IFERROR(AVERAGEIF('Keyword List'!$E$2:$E$257,A26,'Keyword List'!$D$2:$D$257),0)</f>
        <v>14</v>
      </c>
      <c r="M26" s="14" t="s">
        <v>293</v>
      </c>
      <c r="N26" s="18" t="n">
        <f aca="false">LEN(M26)</f>
        <v>55</v>
      </c>
      <c r="O26" s="14" t="s">
        <v>294</v>
      </c>
      <c r="P26" s="18" t="n">
        <f aca="false">LEN(O26)</f>
        <v>125</v>
      </c>
      <c r="Q26" s="14" t="s">
        <v>295</v>
      </c>
      <c r="R26" s="14" t="s">
        <v>296</v>
      </c>
      <c r="S26" s="14" t="s">
        <v>297</v>
      </c>
      <c r="T26" s="13" t="s">
        <v>161</v>
      </c>
    </row>
    <row r="27" customFormat="false" ht="94.5" hidden="false" customHeight="true" outlineLevel="0" collapsed="false">
      <c r="A27" s="13" t="s">
        <v>298</v>
      </c>
      <c r="B27" s="13" t="s">
        <v>141</v>
      </c>
      <c r="C27" s="13" t="s">
        <v>122</v>
      </c>
      <c r="D27" s="14" t="s">
        <v>299</v>
      </c>
      <c r="E27" s="14" t="s">
        <v>300</v>
      </c>
      <c r="F27" s="13" t="s">
        <v>20</v>
      </c>
      <c r="G27" s="19" t="s">
        <v>154</v>
      </c>
      <c r="H27" s="14"/>
      <c r="I27" s="16" t="n">
        <f aca="false">IF(H27="",0,SUMIFS('Keyword List'!$C$2:$C$257,'Keyword List'!$A$2:$A$257,H27))</f>
        <v>0</v>
      </c>
      <c r="J27" s="13" t="n">
        <f aca="false">COUNTIF('Keyword List'!$E$2:$E$257,A27)</f>
        <v>0</v>
      </c>
      <c r="K27" s="16" t="n">
        <f aca="false">SUMIF('Keyword List'!$E$2:$E$257,A27,'Keyword List'!$C$2:$C$257)</f>
        <v>0</v>
      </c>
      <c r="L27" s="17" t="n">
        <f aca="false">IFERROR(AVERAGEIF('Keyword List'!$E$2:$E$257,A27,'Keyword List'!$D$2:$D$257),0)</f>
        <v>0</v>
      </c>
      <c r="M27" s="14" t="s">
        <v>301</v>
      </c>
      <c r="N27" s="18" t="n">
        <f aca="false">LEN(M27)</f>
        <v>60</v>
      </c>
      <c r="O27" s="14" t="s">
        <v>302</v>
      </c>
      <c r="P27" s="18" t="n">
        <f aca="false">LEN(O27)</f>
        <v>126</v>
      </c>
      <c r="Q27" s="14" t="s">
        <v>303</v>
      </c>
      <c r="R27" s="14" t="s">
        <v>304</v>
      </c>
      <c r="S27" s="14" t="s">
        <v>305</v>
      </c>
      <c r="T27" s="13" t="s">
        <v>161</v>
      </c>
    </row>
    <row r="28" customFormat="false" ht="94.5" hidden="false" customHeight="true" outlineLevel="0" collapsed="false">
      <c r="A28" s="13" t="s">
        <v>306</v>
      </c>
      <c r="B28" s="13" t="s">
        <v>141</v>
      </c>
      <c r="C28" s="13" t="s">
        <v>122</v>
      </c>
      <c r="D28" s="14" t="s">
        <v>307</v>
      </c>
      <c r="E28" s="14" t="s">
        <v>308</v>
      </c>
      <c r="F28" s="13" t="s">
        <v>24</v>
      </c>
      <c r="G28" s="19" t="s">
        <v>154</v>
      </c>
      <c r="H28" s="14" t="s">
        <v>309</v>
      </c>
      <c r="I28" s="16" t="n">
        <f aca="false">IF(H28="",0,SUMIFS('Keyword List'!$C$2:$C$257,'Keyword List'!$A$2:$A$257,H28))</f>
        <v>110</v>
      </c>
      <c r="J28" s="13" t="n">
        <f aca="false">COUNTIF('Keyword List'!$E$2:$E$257,A28)</f>
        <v>2</v>
      </c>
      <c r="K28" s="16" t="n">
        <f aca="false">SUMIF('Keyword List'!$E$2:$E$257,A28,'Keyword List'!$C$2:$C$257)</f>
        <v>180</v>
      </c>
      <c r="L28" s="17" t="n">
        <f aca="false">IFERROR(AVERAGEIF('Keyword List'!$E$2:$E$257,A28,'Keyword List'!$D$2:$D$257),0)</f>
        <v>7</v>
      </c>
      <c r="M28" s="14" t="s">
        <v>310</v>
      </c>
      <c r="N28" s="18" t="n">
        <f aca="false">LEN(M28)</f>
        <v>47</v>
      </c>
      <c r="O28" s="14" t="s">
        <v>311</v>
      </c>
      <c r="P28" s="18" t="n">
        <f aca="false">LEN(O28)</f>
        <v>122</v>
      </c>
      <c r="Q28" s="14" t="s">
        <v>312</v>
      </c>
      <c r="R28" s="14" t="s">
        <v>313</v>
      </c>
      <c r="S28" s="14" t="s">
        <v>314</v>
      </c>
      <c r="T28" s="13" t="s">
        <v>161</v>
      </c>
    </row>
    <row r="29" customFormat="false" ht="94.5" hidden="false" customHeight="true" outlineLevel="0" collapsed="false">
      <c r="A29" s="13" t="s">
        <v>315</v>
      </c>
      <c r="B29" s="13" t="s">
        <v>141</v>
      </c>
      <c r="C29" s="13" t="s">
        <v>122</v>
      </c>
      <c r="D29" s="14" t="s">
        <v>316</v>
      </c>
      <c r="E29" s="14" t="s">
        <v>317</v>
      </c>
      <c r="F29" s="13" t="s">
        <v>25</v>
      </c>
      <c r="G29" s="19" t="s">
        <v>154</v>
      </c>
      <c r="H29" s="14" t="s">
        <v>318</v>
      </c>
      <c r="I29" s="16" t="n">
        <f aca="false">IF(H29="",0,SUMIFS('Keyword List'!$C$2:$C$257,'Keyword List'!$A$2:$A$257,H29))</f>
        <v>260</v>
      </c>
      <c r="J29" s="13" t="n">
        <f aca="false">COUNTIF('Keyword List'!$E$2:$E$257,A29)</f>
        <v>4</v>
      </c>
      <c r="K29" s="16" t="n">
        <f aca="false">SUMIF('Keyword List'!$E$2:$E$257,A29,'Keyword List'!$C$2:$C$257)</f>
        <v>470</v>
      </c>
      <c r="L29" s="17" t="n">
        <f aca="false">IFERROR(AVERAGEIF('Keyword List'!$E$2:$E$257,A29,'Keyword List'!$D$2:$D$257),0)</f>
        <v>4.25</v>
      </c>
      <c r="M29" s="14" t="s">
        <v>319</v>
      </c>
      <c r="N29" s="18" t="n">
        <f aca="false">LEN(M29)</f>
        <v>60</v>
      </c>
      <c r="O29" s="14" t="s">
        <v>320</v>
      </c>
      <c r="P29" s="18" t="n">
        <f aca="false">LEN(O29)</f>
        <v>127</v>
      </c>
      <c r="Q29" s="14" t="s">
        <v>321</v>
      </c>
      <c r="R29" s="14" t="s">
        <v>322</v>
      </c>
      <c r="S29" s="14" t="s">
        <v>323</v>
      </c>
      <c r="T29" s="13" t="s">
        <v>161</v>
      </c>
    </row>
    <row r="30" customFormat="false" ht="94.5" hidden="false" customHeight="true" outlineLevel="0" collapsed="false">
      <c r="A30" s="13" t="s">
        <v>324</v>
      </c>
      <c r="B30" s="13" t="s">
        <v>289</v>
      </c>
      <c r="C30" s="13" t="s">
        <v>142</v>
      </c>
      <c r="D30" s="14" t="s">
        <v>325</v>
      </c>
      <c r="E30" s="14" t="s">
        <v>326</v>
      </c>
      <c r="F30" s="13" t="s">
        <v>25</v>
      </c>
      <c r="G30" s="19" t="s">
        <v>327</v>
      </c>
      <c r="H30" s="14" t="s">
        <v>328</v>
      </c>
      <c r="I30" s="16" t="n">
        <f aca="false">IF(H30="",0,SUMIFS('Keyword List'!$C$2:$C$257,'Keyword List'!$A$2:$A$257,H30))</f>
        <v>170</v>
      </c>
      <c r="J30" s="13" t="n">
        <f aca="false">COUNTIF('Keyword List'!$E$2:$E$257,A30)</f>
        <v>11</v>
      </c>
      <c r="K30" s="16" t="n">
        <f aca="false">SUMIF('Keyword List'!$E$2:$E$257,A30,'Keyword List'!$C$2:$C$257)</f>
        <v>820</v>
      </c>
      <c r="L30" s="17" t="n">
        <f aca="false">IFERROR(AVERAGEIF('Keyword List'!$E$2:$E$257,A30,'Keyword List'!$D$2:$D$257),0)</f>
        <v>6.90909090909091</v>
      </c>
      <c r="M30" s="14" t="s">
        <v>329</v>
      </c>
      <c r="N30" s="18" t="n">
        <f aca="false">LEN(M30)</f>
        <v>52</v>
      </c>
      <c r="O30" s="14" t="s">
        <v>330</v>
      </c>
      <c r="P30" s="18" t="n">
        <f aca="false">LEN(O30)</f>
        <v>118</v>
      </c>
      <c r="Q30" s="14" t="s">
        <v>331</v>
      </c>
      <c r="R30" s="14" t="s">
        <v>332</v>
      </c>
      <c r="S30" s="14" t="s">
        <v>333</v>
      </c>
      <c r="T30" s="13" t="s">
        <v>161</v>
      </c>
    </row>
    <row r="31" customFormat="false" ht="94.5" hidden="false" customHeight="true" outlineLevel="0" collapsed="false">
      <c r="A31" s="13" t="s">
        <v>334</v>
      </c>
      <c r="B31" s="13" t="s">
        <v>141</v>
      </c>
      <c r="C31" s="13" t="s">
        <v>122</v>
      </c>
      <c r="D31" s="14" t="s">
        <v>335</v>
      </c>
      <c r="E31" s="14" t="s">
        <v>336</v>
      </c>
      <c r="F31" s="13" t="s">
        <v>26</v>
      </c>
      <c r="G31" s="19" t="s">
        <v>154</v>
      </c>
      <c r="H31" s="14" t="s">
        <v>337</v>
      </c>
      <c r="I31" s="16" t="n">
        <f aca="false">IF(H31="",0,SUMIFS('Keyword List'!$C$2:$C$257,'Keyword List'!$A$2:$A$257,H31))</f>
        <v>260</v>
      </c>
      <c r="J31" s="13" t="n">
        <f aca="false">COUNTIF('Keyword List'!$E$2:$E$257,A31)</f>
        <v>9</v>
      </c>
      <c r="K31" s="16" t="n">
        <f aca="false">SUMIF('Keyword List'!$E$2:$E$257,A31,'Keyword List'!$C$2:$C$257)</f>
        <v>1060</v>
      </c>
      <c r="L31" s="17" t="n">
        <f aca="false">IFERROR(AVERAGEIF('Keyword List'!$E$2:$E$257,A31,'Keyword List'!$D$2:$D$257),0)</f>
        <v>16.7777777777778</v>
      </c>
      <c r="M31" s="14" t="s">
        <v>338</v>
      </c>
      <c r="N31" s="18" t="n">
        <f aca="false">LEN(M31)</f>
        <v>48</v>
      </c>
      <c r="O31" s="14" t="s">
        <v>339</v>
      </c>
      <c r="P31" s="18" t="n">
        <f aca="false">LEN(O31)</f>
        <v>132</v>
      </c>
      <c r="Q31" s="14" t="s">
        <v>340</v>
      </c>
      <c r="R31" s="14" t="s">
        <v>341</v>
      </c>
      <c r="S31" s="14" t="s">
        <v>342</v>
      </c>
      <c r="T31" s="13" t="s">
        <v>161</v>
      </c>
    </row>
    <row r="32" customFormat="false" ht="94.5" hidden="false" customHeight="true" outlineLevel="0" collapsed="false">
      <c r="A32" s="13" t="s">
        <v>343</v>
      </c>
      <c r="B32" s="13" t="s">
        <v>289</v>
      </c>
      <c r="C32" s="13" t="s">
        <v>142</v>
      </c>
      <c r="D32" s="14" t="s">
        <v>344</v>
      </c>
      <c r="E32" s="14" t="s">
        <v>345</v>
      </c>
      <c r="F32" s="13" t="s">
        <v>26</v>
      </c>
      <c r="G32" s="19" t="s">
        <v>154</v>
      </c>
      <c r="H32" s="14" t="s">
        <v>346</v>
      </c>
      <c r="I32" s="16" t="n">
        <f aca="false">IF(H32="",0,SUMIFS('Keyword List'!$C$2:$C$257,'Keyword List'!$A$2:$A$257,H32))</f>
        <v>110</v>
      </c>
      <c r="J32" s="13" t="n">
        <f aca="false">COUNTIF('Keyword List'!$E$2:$E$257,A32)</f>
        <v>2</v>
      </c>
      <c r="K32" s="16" t="n">
        <f aca="false">SUMIF('Keyword List'!$E$2:$E$257,A32,'Keyword List'!$C$2:$C$257)</f>
        <v>160</v>
      </c>
      <c r="L32" s="17" t="n">
        <f aca="false">IFERROR(AVERAGEIF('Keyword List'!$E$2:$E$257,A32,'Keyword List'!$D$2:$D$257),0)</f>
        <v>14</v>
      </c>
      <c r="M32" s="14" t="s">
        <v>347</v>
      </c>
      <c r="N32" s="18" t="n">
        <f aca="false">LEN(M32)</f>
        <v>49</v>
      </c>
      <c r="O32" s="14" t="s">
        <v>348</v>
      </c>
      <c r="P32" s="18" t="n">
        <f aca="false">LEN(O32)</f>
        <v>131</v>
      </c>
      <c r="Q32" s="14" t="s">
        <v>349</v>
      </c>
      <c r="R32" s="14" t="s">
        <v>350</v>
      </c>
      <c r="S32" s="14" t="s">
        <v>351</v>
      </c>
      <c r="T32" s="13" t="s">
        <v>161</v>
      </c>
    </row>
    <row r="33" customFormat="false" ht="94.5" hidden="false" customHeight="true" outlineLevel="0" collapsed="false">
      <c r="A33" s="13" t="s">
        <v>352</v>
      </c>
      <c r="B33" s="13" t="s">
        <v>289</v>
      </c>
      <c r="C33" s="13" t="s">
        <v>142</v>
      </c>
      <c r="D33" s="14" t="s">
        <v>353</v>
      </c>
      <c r="E33" s="14" t="s">
        <v>354</v>
      </c>
      <c r="F33" s="13" t="s">
        <v>26</v>
      </c>
      <c r="G33" s="19" t="s">
        <v>154</v>
      </c>
      <c r="H33" s="14" t="s">
        <v>355</v>
      </c>
      <c r="I33" s="16" t="n">
        <f aca="false">IF(H33="",0,SUMIFS('Keyword List'!$C$2:$C$257,'Keyword List'!$A$2:$A$257,H33))</f>
        <v>90</v>
      </c>
      <c r="J33" s="13" t="n">
        <f aca="false">COUNTIF('Keyword List'!$E$2:$E$257,A33)</f>
        <v>4</v>
      </c>
      <c r="K33" s="16" t="n">
        <f aca="false">SUMIF('Keyword List'!$E$2:$E$257,A33,'Keyword List'!$C$2:$C$257)</f>
        <v>240</v>
      </c>
      <c r="L33" s="17" t="n">
        <f aca="false">IFERROR(AVERAGEIF('Keyword List'!$E$2:$E$257,A33,'Keyword List'!$D$2:$D$257),0)</f>
        <v>15.75</v>
      </c>
      <c r="M33" s="14" t="s">
        <v>356</v>
      </c>
      <c r="N33" s="18" t="n">
        <f aca="false">LEN(M33)</f>
        <v>55</v>
      </c>
      <c r="O33" s="14" t="s">
        <v>357</v>
      </c>
      <c r="P33" s="18" t="n">
        <f aca="false">LEN(O33)</f>
        <v>124</v>
      </c>
      <c r="Q33" s="14" t="s">
        <v>358</v>
      </c>
      <c r="R33" s="14" t="s">
        <v>359</v>
      </c>
      <c r="S33" s="14" t="s">
        <v>360</v>
      </c>
      <c r="T33" s="13" t="s">
        <v>161</v>
      </c>
    </row>
  </sheetData>
  <autoFilter ref="A1:T33"/>
  <conditionalFormatting sqref="N2:N33">
    <cfRule type="cellIs" priority="2" operator="greaterThan" aboveAverage="0" equalAverage="0" bottom="0" percent="0" rank="0" text="" dxfId="5">
      <formula>60</formula>
    </cfRule>
  </conditionalFormatting>
  <conditionalFormatting sqref="P2:P33">
    <cfRule type="cellIs" priority="3" operator="greaterThan" aboveAverage="0" equalAverage="0" bottom="0" percent="0" rank="0" text="" dxfId="5">
      <formula>155</formula>
    </cfRule>
  </conditionalFormatting>
  <dataValidations count="1">
    <dataValidation allowBlank="true" errorStyle="stop" operator="between" showDropDown="false" showErrorMessage="false" showInputMessage="false" sqref="T2:T33" type="list">
      <formula1>"To do,In progress,Live,Indexed,Optimise,Done"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28"/>
    <col collapsed="false" customWidth="true" hidden="false" outlineLevel="0" max="3" min="3" style="0" width="14"/>
    <col collapsed="false" customWidth="true" hidden="false" outlineLevel="0" max="4" min="4" style="0" width="8"/>
    <col collapsed="false" customWidth="true" hidden="false" outlineLevel="0" max="5" min="5" style="0" width="17"/>
    <col collapsed="false" customWidth="true" hidden="false" outlineLevel="0" max="6" min="6" style="0" width="46"/>
    <col collapsed="false" customWidth="true" hidden="false" outlineLevel="0" max="7" min="7" style="0" width="22"/>
    <col collapsed="false" customWidth="true" hidden="false" outlineLevel="0" max="8" min="8" style="0" width="12"/>
    <col collapsed="false" customWidth="true" hidden="false" outlineLevel="0" max="9" min="9" style="0" width="14"/>
  </cols>
  <sheetData>
    <row r="1" customFormat="false" ht="23.85" hidden="false" customHeight="false" outlineLevel="0" collapsed="false">
      <c r="A1" s="9" t="s">
        <v>361</v>
      </c>
      <c r="B1" s="9" t="s">
        <v>362</v>
      </c>
      <c r="C1" s="9" t="s">
        <v>363</v>
      </c>
      <c r="D1" s="9" t="s">
        <v>364</v>
      </c>
      <c r="E1" s="9" t="s">
        <v>43</v>
      </c>
      <c r="F1" s="9" t="s">
        <v>365</v>
      </c>
      <c r="G1" s="9" t="s">
        <v>366</v>
      </c>
      <c r="H1" s="9" t="s">
        <v>367</v>
      </c>
      <c r="I1" s="9" t="s">
        <v>368</v>
      </c>
    </row>
    <row r="2" customFormat="false" ht="15" hidden="false" customHeight="false" outlineLevel="0" collapsed="false">
      <c r="A2" s="13" t="s">
        <v>68</v>
      </c>
      <c r="B2" s="13" t="s">
        <v>369</v>
      </c>
      <c r="C2" s="16" t="n">
        <v>2400</v>
      </c>
      <c r="D2" s="18" t="n">
        <v>12</v>
      </c>
      <c r="E2" s="13" t="s">
        <v>62</v>
      </c>
      <c r="F2" s="13" t="str">
        <f aca="false">INDEX('Page Plan'!$E$2:$E$33,MATCH(E2,'Page Plan'!$A$2:$A$33,0))</f>
        <v>/</v>
      </c>
      <c r="G2" s="13" t="str">
        <f aca="false">INDEX('Page Plan'!$G$2:$G$33,MATCH(E2,'Page Plan'!$A$2:$A$33,0))</f>
        <v>Optimise existing</v>
      </c>
      <c r="H2" s="18" t="str">
        <f aca="false">IF(A2=INDEX('Page Plan'!$H$2:$H$33,MATCH(E2,'Page Plan'!$A$2:$A$33,0)),"Primary","Secondary")</f>
        <v>Primary</v>
      </c>
      <c r="I2" s="13" t="str">
        <f aca="false">IF(ISNUMBER(SEARCH("Informational",B2)),IF(ISNUMBER(SEARCH("Commercial",B2)),"Money","Support"),"Money")</f>
        <v>Money</v>
      </c>
    </row>
    <row r="3" customFormat="false" ht="15" hidden="false" customHeight="false" outlineLevel="0" collapsed="false">
      <c r="A3" s="13" t="s">
        <v>370</v>
      </c>
      <c r="B3" s="13" t="s">
        <v>371</v>
      </c>
      <c r="C3" s="16" t="n">
        <v>1600</v>
      </c>
      <c r="D3" s="18" t="n">
        <v>16</v>
      </c>
      <c r="E3" s="13" t="s">
        <v>62</v>
      </c>
      <c r="F3" s="13" t="str">
        <f aca="false">INDEX('Page Plan'!$E$2:$E$33,MATCH(E3,'Page Plan'!$A$2:$A$33,0))</f>
        <v>/</v>
      </c>
      <c r="G3" s="13" t="str">
        <f aca="false">INDEX('Page Plan'!$G$2:$G$33,MATCH(E3,'Page Plan'!$A$2:$A$33,0))</f>
        <v>Optimise existing</v>
      </c>
      <c r="H3" s="18" t="str">
        <f aca="false">IF(A3=INDEX('Page Plan'!$H$2:$H$33,MATCH(E3,'Page Plan'!$A$2:$A$33,0)),"Primary","Secondary")</f>
        <v>Secondary</v>
      </c>
      <c r="I3" s="13" t="str">
        <f aca="false">IF(ISNUMBER(SEARCH("Informational",B3)),IF(ISNUMBER(SEARCH("Commercial",B3)),"Money","Support"),"Money")</f>
        <v>Money</v>
      </c>
    </row>
    <row r="4" customFormat="false" ht="15" hidden="false" customHeight="false" outlineLevel="0" collapsed="false">
      <c r="A4" s="13" t="s">
        <v>372</v>
      </c>
      <c r="B4" s="13" t="s">
        <v>369</v>
      </c>
      <c r="C4" s="16" t="n">
        <v>1600</v>
      </c>
      <c r="D4" s="18" t="n">
        <v>17</v>
      </c>
      <c r="E4" s="13" t="s">
        <v>62</v>
      </c>
      <c r="F4" s="13" t="str">
        <f aca="false">INDEX('Page Plan'!$E$2:$E$33,MATCH(E4,'Page Plan'!$A$2:$A$33,0))</f>
        <v>/</v>
      </c>
      <c r="G4" s="13" t="str">
        <f aca="false">INDEX('Page Plan'!$G$2:$G$33,MATCH(E4,'Page Plan'!$A$2:$A$33,0))</f>
        <v>Optimise existing</v>
      </c>
      <c r="H4" s="18" t="str">
        <f aca="false">IF(A4=INDEX('Page Plan'!$H$2:$H$33,MATCH(E4,'Page Plan'!$A$2:$A$33,0)),"Primary","Secondary")</f>
        <v>Secondary</v>
      </c>
      <c r="I4" s="13" t="str">
        <f aca="false">IF(ISNUMBER(SEARCH("Informational",B4)),IF(ISNUMBER(SEARCH("Commercial",B4)),"Money","Support"),"Money")</f>
        <v>Money</v>
      </c>
    </row>
    <row r="5" customFormat="false" ht="15" hidden="false" customHeight="false" outlineLevel="0" collapsed="false">
      <c r="A5" s="13" t="s">
        <v>373</v>
      </c>
      <c r="B5" s="13" t="s">
        <v>371</v>
      </c>
      <c r="C5" s="16" t="n">
        <v>1300</v>
      </c>
      <c r="D5" s="18" t="n">
        <v>14</v>
      </c>
      <c r="E5" s="13" t="s">
        <v>62</v>
      </c>
      <c r="F5" s="13" t="str">
        <f aca="false">INDEX('Page Plan'!$E$2:$E$33,MATCH(E5,'Page Plan'!$A$2:$A$33,0))</f>
        <v>/</v>
      </c>
      <c r="G5" s="13" t="str">
        <f aca="false">INDEX('Page Plan'!$G$2:$G$33,MATCH(E5,'Page Plan'!$A$2:$A$33,0))</f>
        <v>Optimise existing</v>
      </c>
      <c r="H5" s="18" t="str">
        <f aca="false">IF(A5=INDEX('Page Plan'!$H$2:$H$33,MATCH(E5,'Page Plan'!$A$2:$A$33,0)),"Primary","Secondary")</f>
        <v>Secondary</v>
      </c>
      <c r="I5" s="13" t="str">
        <f aca="false">IF(ISNUMBER(SEARCH("Informational",B5)),IF(ISNUMBER(SEARCH("Commercial",B5)),"Money","Support"),"Money")</f>
        <v>Money</v>
      </c>
    </row>
    <row r="6" customFormat="false" ht="15" hidden="false" customHeight="false" outlineLevel="0" collapsed="false">
      <c r="A6" s="13" t="s">
        <v>374</v>
      </c>
      <c r="B6" s="13" t="s">
        <v>369</v>
      </c>
      <c r="C6" s="16" t="n">
        <v>880</v>
      </c>
      <c r="D6" s="18" t="n">
        <v>19</v>
      </c>
      <c r="E6" s="13" t="s">
        <v>62</v>
      </c>
      <c r="F6" s="13" t="str">
        <f aca="false">INDEX('Page Plan'!$E$2:$E$33,MATCH(E6,'Page Plan'!$A$2:$A$33,0))</f>
        <v>/</v>
      </c>
      <c r="G6" s="13" t="str">
        <f aca="false">INDEX('Page Plan'!$G$2:$G$33,MATCH(E6,'Page Plan'!$A$2:$A$33,0))</f>
        <v>Optimise existing</v>
      </c>
      <c r="H6" s="18" t="str">
        <f aca="false">IF(A6=INDEX('Page Plan'!$H$2:$H$33,MATCH(E6,'Page Plan'!$A$2:$A$33,0)),"Primary","Secondary")</f>
        <v>Secondary</v>
      </c>
      <c r="I6" s="13" t="str">
        <f aca="false">IF(ISNUMBER(SEARCH("Informational",B6)),IF(ISNUMBER(SEARCH("Commercial",B6)),"Money","Support"),"Money")</f>
        <v>Money</v>
      </c>
    </row>
    <row r="7" customFormat="false" ht="15" hidden="false" customHeight="false" outlineLevel="0" collapsed="false">
      <c r="A7" s="13" t="s">
        <v>375</v>
      </c>
      <c r="B7" s="13" t="s">
        <v>371</v>
      </c>
      <c r="C7" s="16" t="n">
        <v>720</v>
      </c>
      <c r="D7" s="18" t="n">
        <v>13</v>
      </c>
      <c r="E7" s="13" t="s">
        <v>62</v>
      </c>
      <c r="F7" s="13" t="str">
        <f aca="false">INDEX('Page Plan'!$E$2:$E$33,MATCH(E7,'Page Plan'!$A$2:$A$33,0))</f>
        <v>/</v>
      </c>
      <c r="G7" s="13" t="str">
        <f aca="false">INDEX('Page Plan'!$G$2:$G$33,MATCH(E7,'Page Plan'!$A$2:$A$33,0))</f>
        <v>Optimise existing</v>
      </c>
      <c r="H7" s="18" t="str">
        <f aca="false">IF(A7=INDEX('Page Plan'!$H$2:$H$33,MATCH(E7,'Page Plan'!$A$2:$A$33,0)),"Primary","Secondary")</f>
        <v>Secondary</v>
      </c>
      <c r="I7" s="13" t="str">
        <f aca="false">IF(ISNUMBER(SEARCH("Informational",B7)),IF(ISNUMBER(SEARCH("Commercial",B7)),"Money","Support"),"Money")</f>
        <v>Money</v>
      </c>
    </row>
    <row r="8" customFormat="false" ht="15" hidden="false" customHeight="false" outlineLevel="0" collapsed="false">
      <c r="A8" s="13" t="s">
        <v>376</v>
      </c>
      <c r="B8" s="13" t="s">
        <v>371</v>
      </c>
      <c r="C8" s="16" t="n">
        <v>720</v>
      </c>
      <c r="D8" s="18" t="n">
        <v>15</v>
      </c>
      <c r="E8" s="13" t="s">
        <v>62</v>
      </c>
      <c r="F8" s="13" t="str">
        <f aca="false">INDEX('Page Plan'!$E$2:$E$33,MATCH(E8,'Page Plan'!$A$2:$A$33,0))</f>
        <v>/</v>
      </c>
      <c r="G8" s="13" t="str">
        <f aca="false">INDEX('Page Plan'!$G$2:$G$33,MATCH(E8,'Page Plan'!$A$2:$A$33,0))</f>
        <v>Optimise existing</v>
      </c>
      <c r="H8" s="18" t="str">
        <f aca="false">IF(A8=INDEX('Page Plan'!$H$2:$H$33,MATCH(E8,'Page Plan'!$A$2:$A$33,0)),"Primary","Secondary")</f>
        <v>Secondary</v>
      </c>
      <c r="I8" s="13" t="str">
        <f aca="false">IF(ISNUMBER(SEARCH("Informational",B8)),IF(ISNUMBER(SEARCH("Commercial",B8)),"Money","Support"),"Money")</f>
        <v>Money</v>
      </c>
    </row>
    <row r="9" customFormat="false" ht="15" hidden="false" customHeight="false" outlineLevel="0" collapsed="false">
      <c r="A9" s="13" t="s">
        <v>377</v>
      </c>
      <c r="B9" s="13" t="s">
        <v>371</v>
      </c>
      <c r="C9" s="16" t="n">
        <v>480</v>
      </c>
      <c r="D9" s="18" t="n">
        <v>18</v>
      </c>
      <c r="E9" s="13" t="s">
        <v>62</v>
      </c>
      <c r="F9" s="13" t="str">
        <f aca="false">INDEX('Page Plan'!$E$2:$E$33,MATCH(E9,'Page Plan'!$A$2:$A$33,0))</f>
        <v>/</v>
      </c>
      <c r="G9" s="13" t="str">
        <f aca="false">INDEX('Page Plan'!$G$2:$G$33,MATCH(E9,'Page Plan'!$A$2:$A$33,0))</f>
        <v>Optimise existing</v>
      </c>
      <c r="H9" s="18" t="str">
        <f aca="false">IF(A9=INDEX('Page Plan'!$H$2:$H$33,MATCH(E9,'Page Plan'!$A$2:$A$33,0)),"Primary","Secondary")</f>
        <v>Secondary</v>
      </c>
      <c r="I9" s="13" t="str">
        <f aca="false">IF(ISNUMBER(SEARCH("Informational",B9)),IF(ISNUMBER(SEARCH("Commercial",B9)),"Money","Support"),"Money")</f>
        <v>Money</v>
      </c>
    </row>
    <row r="10" customFormat="false" ht="15" hidden="false" customHeight="false" outlineLevel="0" collapsed="false">
      <c r="A10" s="13" t="s">
        <v>378</v>
      </c>
      <c r="B10" s="13" t="s">
        <v>369</v>
      </c>
      <c r="C10" s="16" t="n">
        <v>480</v>
      </c>
      <c r="D10" s="18" t="n">
        <v>8</v>
      </c>
      <c r="E10" s="13" t="s">
        <v>62</v>
      </c>
      <c r="F10" s="13" t="str">
        <f aca="false">INDEX('Page Plan'!$E$2:$E$33,MATCH(E10,'Page Plan'!$A$2:$A$33,0))</f>
        <v>/</v>
      </c>
      <c r="G10" s="13" t="str">
        <f aca="false">INDEX('Page Plan'!$G$2:$G$33,MATCH(E10,'Page Plan'!$A$2:$A$33,0))</f>
        <v>Optimise existing</v>
      </c>
      <c r="H10" s="18" t="str">
        <f aca="false">IF(A10=INDEX('Page Plan'!$H$2:$H$33,MATCH(E10,'Page Plan'!$A$2:$A$33,0)),"Primary","Secondary")</f>
        <v>Secondary</v>
      </c>
      <c r="I10" s="13" t="str">
        <f aca="false">IF(ISNUMBER(SEARCH("Informational",B10)),IF(ISNUMBER(SEARCH("Commercial",B10)),"Money","Support"),"Money")</f>
        <v>Money</v>
      </c>
    </row>
    <row r="11" customFormat="false" ht="15" hidden="false" customHeight="false" outlineLevel="0" collapsed="false">
      <c r="A11" s="13" t="s">
        <v>379</v>
      </c>
      <c r="B11" s="13" t="s">
        <v>369</v>
      </c>
      <c r="C11" s="16" t="n">
        <v>320</v>
      </c>
      <c r="D11" s="18" t="n">
        <v>16</v>
      </c>
      <c r="E11" s="13" t="s">
        <v>62</v>
      </c>
      <c r="F11" s="13" t="str">
        <f aca="false">INDEX('Page Plan'!$E$2:$E$33,MATCH(E11,'Page Plan'!$A$2:$A$33,0))</f>
        <v>/</v>
      </c>
      <c r="G11" s="13" t="str">
        <f aca="false">INDEX('Page Plan'!$G$2:$G$33,MATCH(E11,'Page Plan'!$A$2:$A$33,0))</f>
        <v>Optimise existing</v>
      </c>
      <c r="H11" s="18" t="str">
        <f aca="false">IF(A11=INDEX('Page Plan'!$H$2:$H$33,MATCH(E11,'Page Plan'!$A$2:$A$33,0)),"Primary","Secondary")</f>
        <v>Secondary</v>
      </c>
      <c r="I11" s="13" t="str">
        <f aca="false">IF(ISNUMBER(SEARCH("Informational",B11)),IF(ISNUMBER(SEARCH("Commercial",B11)),"Money","Support"),"Money")</f>
        <v>Money</v>
      </c>
    </row>
    <row r="12" customFormat="false" ht="15" hidden="false" customHeight="false" outlineLevel="0" collapsed="false">
      <c r="A12" s="13" t="s">
        <v>380</v>
      </c>
      <c r="B12" s="13" t="s">
        <v>371</v>
      </c>
      <c r="C12" s="16" t="n">
        <v>260</v>
      </c>
      <c r="D12" s="18" t="n">
        <v>10</v>
      </c>
      <c r="E12" s="13" t="s">
        <v>62</v>
      </c>
      <c r="F12" s="13" t="str">
        <f aca="false">INDEX('Page Plan'!$E$2:$E$33,MATCH(E12,'Page Plan'!$A$2:$A$33,0))</f>
        <v>/</v>
      </c>
      <c r="G12" s="13" t="str">
        <f aca="false">INDEX('Page Plan'!$G$2:$G$33,MATCH(E12,'Page Plan'!$A$2:$A$33,0))</f>
        <v>Optimise existing</v>
      </c>
      <c r="H12" s="18" t="str">
        <f aca="false">IF(A12=INDEX('Page Plan'!$H$2:$H$33,MATCH(E12,'Page Plan'!$A$2:$A$33,0)),"Primary","Secondary")</f>
        <v>Secondary</v>
      </c>
      <c r="I12" s="13" t="str">
        <f aca="false">IF(ISNUMBER(SEARCH("Informational",B12)),IF(ISNUMBER(SEARCH("Commercial",B12)),"Money","Support"),"Money")</f>
        <v>Money</v>
      </c>
    </row>
    <row r="13" customFormat="false" ht="15" hidden="false" customHeight="false" outlineLevel="0" collapsed="false">
      <c r="A13" s="13" t="s">
        <v>381</v>
      </c>
      <c r="B13" s="13" t="s">
        <v>371</v>
      </c>
      <c r="C13" s="16" t="n">
        <v>210</v>
      </c>
      <c r="D13" s="18" t="n">
        <v>19</v>
      </c>
      <c r="E13" s="13" t="s">
        <v>62</v>
      </c>
      <c r="F13" s="13" t="str">
        <f aca="false">INDEX('Page Plan'!$E$2:$E$33,MATCH(E13,'Page Plan'!$A$2:$A$33,0))</f>
        <v>/</v>
      </c>
      <c r="G13" s="13" t="str">
        <f aca="false">INDEX('Page Plan'!$G$2:$G$33,MATCH(E13,'Page Plan'!$A$2:$A$33,0))</f>
        <v>Optimise existing</v>
      </c>
      <c r="H13" s="18" t="str">
        <f aca="false">IF(A13=INDEX('Page Plan'!$H$2:$H$33,MATCH(E13,'Page Plan'!$A$2:$A$33,0)),"Primary","Secondary")</f>
        <v>Secondary</v>
      </c>
      <c r="I13" s="13" t="str">
        <f aca="false">IF(ISNUMBER(SEARCH("Informational",B13)),IF(ISNUMBER(SEARCH("Commercial",B13)),"Money","Support"),"Money")</f>
        <v>Money</v>
      </c>
    </row>
    <row r="14" customFormat="false" ht="15" hidden="false" customHeight="false" outlineLevel="0" collapsed="false">
      <c r="A14" s="13" t="s">
        <v>382</v>
      </c>
      <c r="B14" s="13" t="s">
        <v>371</v>
      </c>
      <c r="C14" s="16" t="n">
        <v>170</v>
      </c>
      <c r="D14" s="18" t="n">
        <v>9</v>
      </c>
      <c r="E14" s="13" t="s">
        <v>62</v>
      </c>
      <c r="F14" s="13" t="str">
        <f aca="false">INDEX('Page Plan'!$E$2:$E$33,MATCH(E14,'Page Plan'!$A$2:$A$33,0))</f>
        <v>/</v>
      </c>
      <c r="G14" s="13" t="str">
        <f aca="false">INDEX('Page Plan'!$G$2:$G$33,MATCH(E14,'Page Plan'!$A$2:$A$33,0))</f>
        <v>Optimise existing</v>
      </c>
      <c r="H14" s="18" t="str">
        <f aca="false">IF(A14=INDEX('Page Plan'!$H$2:$H$33,MATCH(E14,'Page Plan'!$A$2:$A$33,0)),"Primary","Secondary")</f>
        <v>Secondary</v>
      </c>
      <c r="I14" s="13" t="str">
        <f aca="false">IF(ISNUMBER(SEARCH("Informational",B14)),IF(ISNUMBER(SEARCH("Commercial",B14)),"Money","Support"),"Money")</f>
        <v>Money</v>
      </c>
    </row>
    <row r="15" customFormat="false" ht="15" hidden="false" customHeight="false" outlineLevel="0" collapsed="false">
      <c r="A15" s="13" t="s">
        <v>383</v>
      </c>
      <c r="B15" s="13" t="s">
        <v>371</v>
      </c>
      <c r="C15" s="16" t="n">
        <v>170</v>
      </c>
      <c r="D15" s="18" t="n">
        <v>19</v>
      </c>
      <c r="E15" s="13" t="s">
        <v>62</v>
      </c>
      <c r="F15" s="13" t="str">
        <f aca="false">INDEX('Page Plan'!$E$2:$E$33,MATCH(E15,'Page Plan'!$A$2:$A$33,0))</f>
        <v>/</v>
      </c>
      <c r="G15" s="13" t="str">
        <f aca="false">INDEX('Page Plan'!$G$2:$G$33,MATCH(E15,'Page Plan'!$A$2:$A$33,0))</f>
        <v>Optimise existing</v>
      </c>
      <c r="H15" s="18" t="str">
        <f aca="false">IF(A15=INDEX('Page Plan'!$H$2:$H$33,MATCH(E15,'Page Plan'!$A$2:$A$33,0)),"Primary","Secondary")</f>
        <v>Secondary</v>
      </c>
      <c r="I15" s="13" t="str">
        <f aca="false">IF(ISNUMBER(SEARCH("Informational",B15)),IF(ISNUMBER(SEARCH("Commercial",B15)),"Money","Support"),"Money")</f>
        <v>Money</v>
      </c>
    </row>
    <row r="16" customFormat="false" ht="15" hidden="false" customHeight="false" outlineLevel="0" collapsed="false">
      <c r="A16" s="13" t="s">
        <v>384</v>
      </c>
      <c r="B16" s="13" t="s">
        <v>371</v>
      </c>
      <c r="C16" s="16" t="n">
        <v>170</v>
      </c>
      <c r="D16" s="18" t="n">
        <v>9</v>
      </c>
      <c r="E16" s="13" t="s">
        <v>62</v>
      </c>
      <c r="F16" s="13" t="str">
        <f aca="false">INDEX('Page Plan'!$E$2:$E$33,MATCH(E16,'Page Plan'!$A$2:$A$33,0))</f>
        <v>/</v>
      </c>
      <c r="G16" s="13" t="str">
        <f aca="false">INDEX('Page Plan'!$G$2:$G$33,MATCH(E16,'Page Plan'!$A$2:$A$33,0))</f>
        <v>Optimise existing</v>
      </c>
      <c r="H16" s="18" t="str">
        <f aca="false">IF(A16=INDEX('Page Plan'!$H$2:$H$33,MATCH(E16,'Page Plan'!$A$2:$A$33,0)),"Primary","Secondary")</f>
        <v>Secondary</v>
      </c>
      <c r="I16" s="13" t="str">
        <f aca="false">IF(ISNUMBER(SEARCH("Informational",B16)),IF(ISNUMBER(SEARCH("Commercial",B16)),"Money","Support"),"Money")</f>
        <v>Money</v>
      </c>
    </row>
    <row r="17" customFormat="false" ht="15" hidden="false" customHeight="false" outlineLevel="0" collapsed="false">
      <c r="A17" s="13" t="s">
        <v>385</v>
      </c>
      <c r="B17" s="13" t="s">
        <v>371</v>
      </c>
      <c r="C17" s="16" t="n">
        <v>140</v>
      </c>
      <c r="D17" s="18" t="n">
        <v>16</v>
      </c>
      <c r="E17" s="13" t="s">
        <v>62</v>
      </c>
      <c r="F17" s="13" t="str">
        <f aca="false">INDEX('Page Plan'!$E$2:$E$33,MATCH(E17,'Page Plan'!$A$2:$A$33,0))</f>
        <v>/</v>
      </c>
      <c r="G17" s="13" t="str">
        <f aca="false">INDEX('Page Plan'!$G$2:$G$33,MATCH(E17,'Page Plan'!$A$2:$A$33,0))</f>
        <v>Optimise existing</v>
      </c>
      <c r="H17" s="18" t="str">
        <f aca="false">IF(A17=INDEX('Page Plan'!$H$2:$H$33,MATCH(E17,'Page Plan'!$A$2:$A$33,0)),"Primary","Secondary")</f>
        <v>Secondary</v>
      </c>
      <c r="I17" s="13" t="str">
        <f aca="false">IF(ISNUMBER(SEARCH("Informational",B17)),IF(ISNUMBER(SEARCH("Commercial",B17)),"Money","Support"),"Money")</f>
        <v>Money</v>
      </c>
    </row>
    <row r="18" customFormat="false" ht="15" hidden="false" customHeight="false" outlineLevel="0" collapsed="false">
      <c r="A18" s="13" t="s">
        <v>386</v>
      </c>
      <c r="B18" s="13" t="s">
        <v>371</v>
      </c>
      <c r="C18" s="16" t="n">
        <v>140</v>
      </c>
      <c r="D18" s="18" t="n">
        <v>5</v>
      </c>
      <c r="E18" s="13" t="s">
        <v>62</v>
      </c>
      <c r="F18" s="13" t="str">
        <f aca="false">INDEX('Page Plan'!$E$2:$E$33,MATCH(E18,'Page Plan'!$A$2:$A$33,0))</f>
        <v>/</v>
      </c>
      <c r="G18" s="13" t="str">
        <f aca="false">INDEX('Page Plan'!$G$2:$G$33,MATCH(E18,'Page Plan'!$A$2:$A$33,0))</f>
        <v>Optimise existing</v>
      </c>
      <c r="H18" s="18" t="str">
        <f aca="false">IF(A18=INDEX('Page Plan'!$H$2:$H$33,MATCH(E18,'Page Plan'!$A$2:$A$33,0)),"Primary","Secondary")</f>
        <v>Secondary</v>
      </c>
      <c r="I18" s="13" t="str">
        <f aca="false">IF(ISNUMBER(SEARCH("Informational",B18)),IF(ISNUMBER(SEARCH("Commercial",B18)),"Money","Support"),"Money")</f>
        <v>Money</v>
      </c>
    </row>
    <row r="19" customFormat="false" ht="15" hidden="false" customHeight="false" outlineLevel="0" collapsed="false">
      <c r="A19" s="13" t="s">
        <v>387</v>
      </c>
      <c r="B19" s="13" t="s">
        <v>371</v>
      </c>
      <c r="C19" s="16" t="n">
        <v>110</v>
      </c>
      <c r="D19" s="18" t="n">
        <v>11</v>
      </c>
      <c r="E19" s="13" t="s">
        <v>62</v>
      </c>
      <c r="F19" s="13" t="str">
        <f aca="false">INDEX('Page Plan'!$E$2:$E$33,MATCH(E19,'Page Plan'!$A$2:$A$33,0))</f>
        <v>/</v>
      </c>
      <c r="G19" s="13" t="str">
        <f aca="false">INDEX('Page Plan'!$G$2:$G$33,MATCH(E19,'Page Plan'!$A$2:$A$33,0))</f>
        <v>Optimise existing</v>
      </c>
      <c r="H19" s="18" t="str">
        <f aca="false">IF(A19=INDEX('Page Plan'!$H$2:$H$33,MATCH(E19,'Page Plan'!$A$2:$A$33,0)),"Primary","Secondary")</f>
        <v>Secondary</v>
      </c>
      <c r="I19" s="13" t="str">
        <f aca="false">IF(ISNUMBER(SEARCH("Informational",B19)),IF(ISNUMBER(SEARCH("Commercial",B19)),"Money","Support"),"Money")</f>
        <v>Money</v>
      </c>
    </row>
    <row r="20" customFormat="false" ht="15" hidden="false" customHeight="false" outlineLevel="0" collapsed="false">
      <c r="A20" s="13" t="s">
        <v>388</v>
      </c>
      <c r="B20" s="13" t="s">
        <v>371</v>
      </c>
      <c r="C20" s="16" t="n">
        <v>110</v>
      </c>
      <c r="D20" s="18" t="n">
        <v>14</v>
      </c>
      <c r="E20" s="13" t="s">
        <v>62</v>
      </c>
      <c r="F20" s="13" t="str">
        <f aca="false">INDEX('Page Plan'!$E$2:$E$33,MATCH(E20,'Page Plan'!$A$2:$A$33,0))</f>
        <v>/</v>
      </c>
      <c r="G20" s="13" t="str">
        <f aca="false">INDEX('Page Plan'!$G$2:$G$33,MATCH(E20,'Page Plan'!$A$2:$A$33,0))</f>
        <v>Optimise existing</v>
      </c>
      <c r="H20" s="18" t="str">
        <f aca="false">IF(A20=INDEX('Page Plan'!$H$2:$H$33,MATCH(E20,'Page Plan'!$A$2:$A$33,0)),"Primary","Secondary")</f>
        <v>Secondary</v>
      </c>
      <c r="I20" s="13" t="str">
        <f aca="false">IF(ISNUMBER(SEARCH("Informational",B20)),IF(ISNUMBER(SEARCH("Commercial",B20)),"Money","Support"),"Money")</f>
        <v>Money</v>
      </c>
    </row>
    <row r="21" customFormat="false" ht="15" hidden="false" customHeight="false" outlineLevel="0" collapsed="false">
      <c r="A21" s="13" t="s">
        <v>389</v>
      </c>
      <c r="B21" s="13" t="s">
        <v>369</v>
      </c>
      <c r="C21" s="16" t="n">
        <v>110</v>
      </c>
      <c r="D21" s="18" t="n">
        <v>9</v>
      </c>
      <c r="E21" s="13" t="s">
        <v>62</v>
      </c>
      <c r="F21" s="13" t="str">
        <f aca="false">INDEX('Page Plan'!$E$2:$E$33,MATCH(E21,'Page Plan'!$A$2:$A$33,0))</f>
        <v>/</v>
      </c>
      <c r="G21" s="13" t="str">
        <f aca="false">INDEX('Page Plan'!$G$2:$G$33,MATCH(E21,'Page Plan'!$A$2:$A$33,0))</f>
        <v>Optimise existing</v>
      </c>
      <c r="H21" s="18" t="str">
        <f aca="false">IF(A21=INDEX('Page Plan'!$H$2:$H$33,MATCH(E21,'Page Plan'!$A$2:$A$33,0)),"Primary","Secondary")</f>
        <v>Secondary</v>
      </c>
      <c r="I21" s="13" t="str">
        <f aca="false">IF(ISNUMBER(SEARCH("Informational",B21)),IF(ISNUMBER(SEARCH("Commercial",B21)),"Money","Support"),"Money")</f>
        <v>Money</v>
      </c>
    </row>
    <row r="22" customFormat="false" ht="15" hidden="false" customHeight="false" outlineLevel="0" collapsed="false">
      <c r="A22" s="13" t="s">
        <v>390</v>
      </c>
      <c r="B22" s="13" t="s">
        <v>391</v>
      </c>
      <c r="C22" s="16" t="n">
        <v>110</v>
      </c>
      <c r="D22" s="18" t="n">
        <v>11</v>
      </c>
      <c r="E22" s="13" t="s">
        <v>62</v>
      </c>
      <c r="F22" s="13" t="str">
        <f aca="false">INDEX('Page Plan'!$E$2:$E$33,MATCH(E22,'Page Plan'!$A$2:$A$33,0))</f>
        <v>/</v>
      </c>
      <c r="G22" s="13" t="str">
        <f aca="false">INDEX('Page Plan'!$G$2:$G$33,MATCH(E22,'Page Plan'!$A$2:$A$33,0))</f>
        <v>Optimise existing</v>
      </c>
      <c r="H22" s="18" t="str">
        <f aca="false">IF(A22=INDEX('Page Plan'!$H$2:$H$33,MATCH(E22,'Page Plan'!$A$2:$A$33,0)),"Primary","Secondary")</f>
        <v>Secondary</v>
      </c>
      <c r="I22" s="13" t="str">
        <f aca="false">IF(ISNUMBER(SEARCH("Informational",B22)),IF(ISNUMBER(SEARCH("Commercial",B22)),"Money","Support"),"Money")</f>
        <v>Support</v>
      </c>
    </row>
    <row r="23" customFormat="false" ht="15" hidden="false" customHeight="false" outlineLevel="0" collapsed="false">
      <c r="A23" s="13" t="s">
        <v>392</v>
      </c>
      <c r="B23" s="13" t="s">
        <v>371</v>
      </c>
      <c r="C23" s="16" t="n">
        <v>70</v>
      </c>
      <c r="D23" s="18" t="n">
        <v>5</v>
      </c>
      <c r="E23" s="13" t="s">
        <v>62</v>
      </c>
      <c r="F23" s="13" t="str">
        <f aca="false">INDEX('Page Plan'!$E$2:$E$33,MATCH(E23,'Page Plan'!$A$2:$A$33,0))</f>
        <v>/</v>
      </c>
      <c r="G23" s="13" t="str">
        <f aca="false">INDEX('Page Plan'!$G$2:$G$33,MATCH(E23,'Page Plan'!$A$2:$A$33,0))</f>
        <v>Optimise existing</v>
      </c>
      <c r="H23" s="18" t="str">
        <f aca="false">IF(A23=INDEX('Page Plan'!$H$2:$H$33,MATCH(E23,'Page Plan'!$A$2:$A$33,0)),"Primary","Secondary")</f>
        <v>Secondary</v>
      </c>
      <c r="I23" s="13" t="str">
        <f aca="false">IF(ISNUMBER(SEARCH("Informational",B23)),IF(ISNUMBER(SEARCH("Commercial",B23)),"Money","Support"),"Money")</f>
        <v>Money</v>
      </c>
    </row>
    <row r="24" customFormat="false" ht="15" hidden="false" customHeight="false" outlineLevel="0" collapsed="false">
      <c r="A24" s="13" t="s">
        <v>393</v>
      </c>
      <c r="B24" s="13" t="s">
        <v>369</v>
      </c>
      <c r="C24" s="16" t="n">
        <v>70</v>
      </c>
      <c r="D24" s="18" t="n">
        <v>16</v>
      </c>
      <c r="E24" s="13" t="s">
        <v>62</v>
      </c>
      <c r="F24" s="13" t="str">
        <f aca="false">INDEX('Page Plan'!$E$2:$E$33,MATCH(E24,'Page Plan'!$A$2:$A$33,0))</f>
        <v>/</v>
      </c>
      <c r="G24" s="13" t="str">
        <f aca="false">INDEX('Page Plan'!$G$2:$G$33,MATCH(E24,'Page Plan'!$A$2:$A$33,0))</f>
        <v>Optimise existing</v>
      </c>
      <c r="H24" s="18" t="str">
        <f aca="false">IF(A24=INDEX('Page Plan'!$H$2:$H$33,MATCH(E24,'Page Plan'!$A$2:$A$33,0)),"Primary","Secondary")</f>
        <v>Secondary</v>
      </c>
      <c r="I24" s="13" t="str">
        <f aca="false">IF(ISNUMBER(SEARCH("Informational",B24)),IF(ISNUMBER(SEARCH("Commercial",B24)),"Money","Support"),"Money")</f>
        <v>Money</v>
      </c>
    </row>
    <row r="25" customFormat="false" ht="15" hidden="false" customHeight="false" outlineLevel="0" collapsed="false">
      <c r="A25" s="13" t="s">
        <v>394</v>
      </c>
      <c r="B25" s="13" t="s">
        <v>371</v>
      </c>
      <c r="C25" s="16" t="n">
        <v>50</v>
      </c>
      <c r="D25" s="18" t="n">
        <v>4</v>
      </c>
      <c r="E25" s="13" t="s">
        <v>62</v>
      </c>
      <c r="F25" s="13" t="str">
        <f aca="false">INDEX('Page Plan'!$E$2:$E$33,MATCH(E25,'Page Plan'!$A$2:$A$33,0))</f>
        <v>/</v>
      </c>
      <c r="G25" s="13" t="str">
        <f aca="false">INDEX('Page Plan'!$G$2:$G$33,MATCH(E25,'Page Plan'!$A$2:$A$33,0))</f>
        <v>Optimise existing</v>
      </c>
      <c r="H25" s="18" t="str">
        <f aca="false">IF(A25=INDEX('Page Plan'!$H$2:$H$33,MATCH(E25,'Page Plan'!$A$2:$A$33,0)),"Primary","Secondary")</f>
        <v>Secondary</v>
      </c>
      <c r="I25" s="13" t="str">
        <f aca="false">IF(ISNUMBER(SEARCH("Informational",B25)),IF(ISNUMBER(SEARCH("Commercial",B25)),"Money","Support"),"Money")</f>
        <v>Money</v>
      </c>
    </row>
    <row r="26" customFormat="false" ht="15" hidden="false" customHeight="false" outlineLevel="0" collapsed="false">
      <c r="A26" s="13" t="s">
        <v>395</v>
      </c>
      <c r="B26" s="13" t="s">
        <v>371</v>
      </c>
      <c r="C26" s="16" t="n">
        <v>50</v>
      </c>
      <c r="D26" s="18" t="n">
        <v>9</v>
      </c>
      <c r="E26" s="13" t="s">
        <v>62</v>
      </c>
      <c r="F26" s="13" t="str">
        <f aca="false">INDEX('Page Plan'!$E$2:$E$33,MATCH(E26,'Page Plan'!$A$2:$A$33,0))</f>
        <v>/</v>
      </c>
      <c r="G26" s="13" t="str">
        <f aca="false">INDEX('Page Plan'!$G$2:$G$33,MATCH(E26,'Page Plan'!$A$2:$A$33,0))</f>
        <v>Optimise existing</v>
      </c>
      <c r="H26" s="18" t="str">
        <f aca="false">IF(A26=INDEX('Page Plan'!$H$2:$H$33,MATCH(E26,'Page Plan'!$A$2:$A$33,0)),"Primary","Secondary")</f>
        <v>Secondary</v>
      </c>
      <c r="I26" s="13" t="str">
        <f aca="false">IF(ISNUMBER(SEARCH("Informational",B26)),IF(ISNUMBER(SEARCH("Commercial",B26)),"Money","Support"),"Money")</f>
        <v>Money</v>
      </c>
    </row>
    <row r="27" customFormat="false" ht="15" hidden="false" customHeight="false" outlineLevel="0" collapsed="false">
      <c r="A27" s="13" t="s">
        <v>78</v>
      </c>
      <c r="B27" s="13" t="s">
        <v>371</v>
      </c>
      <c r="C27" s="16" t="n">
        <v>720</v>
      </c>
      <c r="D27" s="18" t="n">
        <v>6</v>
      </c>
      <c r="E27" s="13" t="s">
        <v>75</v>
      </c>
      <c r="F27" s="13" t="str">
        <f aca="false">INDEX('Page Plan'!$E$2:$E$33,MATCH(E27,'Page Plan'!$A$2:$A$33,0))</f>
        <v>/services</v>
      </c>
      <c r="G27" s="13" t="str">
        <f aca="false">INDEX('Page Plan'!$G$2:$G$33,MATCH(E27,'Page Plan'!$A$2:$A$33,0))</f>
        <v>Optimise existing</v>
      </c>
      <c r="H27" s="18" t="str">
        <f aca="false">IF(A27=INDEX('Page Plan'!$H$2:$H$33,MATCH(E27,'Page Plan'!$A$2:$A$33,0)),"Primary","Secondary")</f>
        <v>Primary</v>
      </c>
      <c r="I27" s="13" t="str">
        <f aca="false">IF(ISNUMBER(SEARCH("Informational",B27)),IF(ISNUMBER(SEARCH("Commercial",B27)),"Money","Support"),"Money")</f>
        <v>Money</v>
      </c>
    </row>
    <row r="28" customFormat="false" ht="15" hidden="false" customHeight="false" outlineLevel="0" collapsed="false">
      <c r="A28" s="13" t="s">
        <v>396</v>
      </c>
      <c r="B28" s="13" t="s">
        <v>371</v>
      </c>
      <c r="C28" s="16" t="n">
        <v>210</v>
      </c>
      <c r="D28" s="18" t="n">
        <v>6</v>
      </c>
      <c r="E28" s="13" t="s">
        <v>75</v>
      </c>
      <c r="F28" s="13" t="str">
        <f aca="false">INDEX('Page Plan'!$E$2:$E$33,MATCH(E28,'Page Plan'!$A$2:$A$33,0))</f>
        <v>/services</v>
      </c>
      <c r="G28" s="13" t="str">
        <f aca="false">INDEX('Page Plan'!$G$2:$G$33,MATCH(E28,'Page Plan'!$A$2:$A$33,0))</f>
        <v>Optimise existing</v>
      </c>
      <c r="H28" s="18" t="str">
        <f aca="false">IF(A28=INDEX('Page Plan'!$H$2:$H$33,MATCH(E28,'Page Plan'!$A$2:$A$33,0)),"Primary","Secondary")</f>
        <v>Secondary</v>
      </c>
      <c r="I28" s="13" t="str">
        <f aca="false">IF(ISNUMBER(SEARCH("Informational",B28)),IF(ISNUMBER(SEARCH("Commercial",B28)),"Money","Support"),"Money")</f>
        <v>Money</v>
      </c>
    </row>
    <row r="29" customFormat="false" ht="15" hidden="false" customHeight="false" outlineLevel="0" collapsed="false">
      <c r="A29" s="13" t="s">
        <v>397</v>
      </c>
      <c r="B29" s="13" t="s">
        <v>371</v>
      </c>
      <c r="C29" s="16" t="n">
        <v>170</v>
      </c>
      <c r="D29" s="18" t="n">
        <v>16</v>
      </c>
      <c r="E29" s="13" t="s">
        <v>75</v>
      </c>
      <c r="F29" s="13" t="str">
        <f aca="false">INDEX('Page Plan'!$E$2:$E$33,MATCH(E29,'Page Plan'!$A$2:$A$33,0))</f>
        <v>/services</v>
      </c>
      <c r="G29" s="13" t="str">
        <f aca="false">INDEX('Page Plan'!$G$2:$G$33,MATCH(E29,'Page Plan'!$A$2:$A$33,0))</f>
        <v>Optimise existing</v>
      </c>
      <c r="H29" s="18" t="str">
        <f aca="false">IF(A29=INDEX('Page Plan'!$H$2:$H$33,MATCH(E29,'Page Plan'!$A$2:$A$33,0)),"Primary","Secondary")</f>
        <v>Secondary</v>
      </c>
      <c r="I29" s="13" t="str">
        <f aca="false">IF(ISNUMBER(SEARCH("Informational",B29)),IF(ISNUMBER(SEARCH("Commercial",B29)),"Money","Support"),"Money")</f>
        <v>Money</v>
      </c>
    </row>
    <row r="30" customFormat="false" ht="15" hidden="false" customHeight="false" outlineLevel="0" collapsed="false">
      <c r="A30" s="13" t="s">
        <v>398</v>
      </c>
      <c r="B30" s="13" t="s">
        <v>391</v>
      </c>
      <c r="C30" s="16" t="n">
        <v>110</v>
      </c>
      <c r="D30" s="18" t="n">
        <v>16</v>
      </c>
      <c r="E30" s="13" t="s">
        <v>75</v>
      </c>
      <c r="F30" s="13" t="str">
        <f aca="false">INDEX('Page Plan'!$E$2:$E$33,MATCH(E30,'Page Plan'!$A$2:$A$33,0))</f>
        <v>/services</v>
      </c>
      <c r="G30" s="13" t="str">
        <f aca="false">INDEX('Page Plan'!$G$2:$G$33,MATCH(E30,'Page Plan'!$A$2:$A$33,0))</f>
        <v>Optimise existing</v>
      </c>
      <c r="H30" s="18" t="str">
        <f aca="false">IF(A30=INDEX('Page Plan'!$H$2:$H$33,MATCH(E30,'Page Plan'!$A$2:$A$33,0)),"Primary","Secondary")</f>
        <v>Secondary</v>
      </c>
      <c r="I30" s="13" t="str">
        <f aca="false">IF(ISNUMBER(SEARCH("Informational",B30)),IF(ISNUMBER(SEARCH("Commercial",B30)),"Money","Support"),"Money")</f>
        <v>Support</v>
      </c>
    </row>
    <row r="31" customFormat="false" ht="15" hidden="false" customHeight="false" outlineLevel="0" collapsed="false">
      <c r="A31" s="13" t="s">
        <v>399</v>
      </c>
      <c r="B31" s="13" t="s">
        <v>371</v>
      </c>
      <c r="C31" s="16" t="n">
        <v>110</v>
      </c>
      <c r="D31" s="18" t="n">
        <v>6</v>
      </c>
      <c r="E31" s="13" t="s">
        <v>75</v>
      </c>
      <c r="F31" s="13" t="str">
        <f aca="false">INDEX('Page Plan'!$E$2:$E$33,MATCH(E31,'Page Plan'!$A$2:$A$33,0))</f>
        <v>/services</v>
      </c>
      <c r="G31" s="13" t="str">
        <f aca="false">INDEX('Page Plan'!$G$2:$G$33,MATCH(E31,'Page Plan'!$A$2:$A$33,0))</f>
        <v>Optimise existing</v>
      </c>
      <c r="H31" s="18" t="str">
        <f aca="false">IF(A31=INDEX('Page Plan'!$H$2:$H$33,MATCH(E31,'Page Plan'!$A$2:$A$33,0)),"Primary","Secondary")</f>
        <v>Secondary</v>
      </c>
      <c r="I31" s="13" t="str">
        <f aca="false">IF(ISNUMBER(SEARCH("Informational",B31)),IF(ISNUMBER(SEARCH("Commercial",B31)),"Money","Support"),"Money")</f>
        <v>Money</v>
      </c>
    </row>
    <row r="32" customFormat="false" ht="15" hidden="false" customHeight="false" outlineLevel="0" collapsed="false">
      <c r="A32" s="13" t="s">
        <v>400</v>
      </c>
      <c r="B32" s="13" t="s">
        <v>369</v>
      </c>
      <c r="C32" s="16" t="n">
        <v>70</v>
      </c>
      <c r="D32" s="18" t="n">
        <v>18</v>
      </c>
      <c r="E32" s="13" t="s">
        <v>75</v>
      </c>
      <c r="F32" s="13" t="str">
        <f aca="false">INDEX('Page Plan'!$E$2:$E$33,MATCH(E32,'Page Plan'!$A$2:$A$33,0))</f>
        <v>/services</v>
      </c>
      <c r="G32" s="13" t="str">
        <f aca="false">INDEX('Page Plan'!$G$2:$G$33,MATCH(E32,'Page Plan'!$A$2:$A$33,0))</f>
        <v>Optimise existing</v>
      </c>
      <c r="H32" s="18" t="str">
        <f aca="false">IF(A32=INDEX('Page Plan'!$H$2:$H$33,MATCH(E32,'Page Plan'!$A$2:$A$33,0)),"Primary","Secondary")</f>
        <v>Secondary</v>
      </c>
      <c r="I32" s="13" t="str">
        <f aca="false">IF(ISNUMBER(SEARCH("Informational",B32)),IF(ISNUMBER(SEARCH("Commercial",B32)),"Money","Support"),"Money")</f>
        <v>Money</v>
      </c>
    </row>
    <row r="33" customFormat="false" ht="15" hidden="false" customHeight="false" outlineLevel="0" collapsed="false">
      <c r="A33" s="13" t="s">
        <v>401</v>
      </c>
      <c r="B33" s="13" t="s">
        <v>371</v>
      </c>
      <c r="C33" s="16" t="n">
        <v>70</v>
      </c>
      <c r="D33" s="18" t="n">
        <v>16</v>
      </c>
      <c r="E33" s="13" t="s">
        <v>75</v>
      </c>
      <c r="F33" s="13" t="str">
        <f aca="false">INDEX('Page Plan'!$E$2:$E$33,MATCH(E33,'Page Plan'!$A$2:$A$33,0))</f>
        <v>/services</v>
      </c>
      <c r="G33" s="13" t="str">
        <f aca="false">INDEX('Page Plan'!$G$2:$G$33,MATCH(E33,'Page Plan'!$A$2:$A$33,0))</f>
        <v>Optimise existing</v>
      </c>
      <c r="H33" s="18" t="str">
        <f aca="false">IF(A33=INDEX('Page Plan'!$H$2:$H$33,MATCH(E33,'Page Plan'!$A$2:$A$33,0)),"Primary","Secondary")</f>
        <v>Secondary</v>
      </c>
      <c r="I33" s="13" t="str">
        <f aca="false">IF(ISNUMBER(SEARCH("Informational",B33)),IF(ISNUMBER(SEARCH("Commercial",B33)),"Money","Support"),"Money")</f>
        <v>Money</v>
      </c>
    </row>
    <row r="34" customFormat="false" ht="15" hidden="false" customHeight="false" outlineLevel="0" collapsed="false">
      <c r="A34" s="13" t="s">
        <v>87</v>
      </c>
      <c r="B34" s="13" t="s">
        <v>391</v>
      </c>
      <c r="C34" s="16" t="n">
        <v>50</v>
      </c>
      <c r="D34" s="18" t="n">
        <v>19</v>
      </c>
      <c r="E34" s="13" t="s">
        <v>84</v>
      </c>
      <c r="F34" s="13" t="str">
        <f aca="false">INDEX('Page Plan'!$E$2:$E$33,MATCH(E34,'Page Plan'!$A$2:$A$33,0))</f>
        <v>/fridge-not-cooling-repair</v>
      </c>
      <c r="G34" s="13" t="str">
        <f aca="false">INDEX('Page Plan'!$G$2:$G$33,MATCH(E34,'Page Plan'!$A$2:$A$33,0))</f>
        <v>Optimise existing</v>
      </c>
      <c r="H34" s="18" t="str">
        <f aca="false">IF(A34=INDEX('Page Plan'!$H$2:$H$33,MATCH(E34,'Page Plan'!$A$2:$A$33,0)),"Primary","Secondary")</f>
        <v>Primary</v>
      </c>
      <c r="I34" s="13" t="str">
        <f aca="false">IF(ISNUMBER(SEARCH("Informational",B34)),IF(ISNUMBER(SEARCH("Commercial",B34)),"Money","Support"),"Money")</f>
        <v>Support</v>
      </c>
    </row>
    <row r="35" customFormat="false" ht="15" hidden="false" customHeight="false" outlineLevel="0" collapsed="false">
      <c r="A35" s="13" t="s">
        <v>402</v>
      </c>
      <c r="B35" s="13" t="s">
        <v>371</v>
      </c>
      <c r="C35" s="16" t="n">
        <v>50</v>
      </c>
      <c r="D35" s="18" t="n">
        <v>5</v>
      </c>
      <c r="E35" s="13" t="s">
        <v>84</v>
      </c>
      <c r="F35" s="13" t="str">
        <f aca="false">INDEX('Page Plan'!$E$2:$E$33,MATCH(E35,'Page Plan'!$A$2:$A$33,0))</f>
        <v>/fridge-not-cooling-repair</v>
      </c>
      <c r="G35" s="13" t="str">
        <f aca="false">INDEX('Page Plan'!$G$2:$G$33,MATCH(E35,'Page Plan'!$A$2:$A$33,0))</f>
        <v>Optimise existing</v>
      </c>
      <c r="H35" s="18" t="str">
        <f aca="false">IF(A35=INDEX('Page Plan'!$H$2:$H$33,MATCH(E35,'Page Plan'!$A$2:$A$33,0)),"Primary","Secondary")</f>
        <v>Secondary</v>
      </c>
      <c r="I35" s="13" t="str">
        <f aca="false">IF(ISNUMBER(SEARCH("Informational",B35)),IF(ISNUMBER(SEARCH("Commercial",B35)),"Money","Support"),"Money")</f>
        <v>Money</v>
      </c>
    </row>
    <row r="36" customFormat="false" ht="15" hidden="false" customHeight="false" outlineLevel="0" collapsed="false">
      <c r="A36" s="13" t="s">
        <v>96</v>
      </c>
      <c r="B36" s="13" t="s">
        <v>391</v>
      </c>
      <c r="C36" s="16" t="n">
        <v>210</v>
      </c>
      <c r="D36" s="18" t="n">
        <v>9</v>
      </c>
      <c r="E36" s="13" t="s">
        <v>93</v>
      </c>
      <c r="F36" s="13" t="str">
        <f aca="false">INDEX('Page Plan'!$E$2:$E$33,MATCH(E36,'Page Plan'!$A$2:$A$33,0))</f>
        <v>/fridge-regas</v>
      </c>
      <c r="G36" s="13" t="str">
        <f aca="false">INDEX('Page Plan'!$G$2:$G$33,MATCH(E36,'Page Plan'!$A$2:$A$33,0))</f>
        <v>Optimise existing</v>
      </c>
      <c r="H36" s="18" t="str">
        <f aca="false">IF(A36=INDEX('Page Plan'!$H$2:$H$33,MATCH(E36,'Page Plan'!$A$2:$A$33,0)),"Primary","Secondary")</f>
        <v>Primary</v>
      </c>
      <c r="I36" s="13" t="str">
        <f aca="false">IF(ISNUMBER(SEARCH("Informational",B36)),IF(ISNUMBER(SEARCH("Commercial",B36)),"Money","Support"),"Money")</f>
        <v>Support</v>
      </c>
    </row>
    <row r="37" customFormat="false" ht="15" hidden="false" customHeight="false" outlineLevel="0" collapsed="false">
      <c r="A37" s="13" t="s">
        <v>403</v>
      </c>
      <c r="B37" s="13" t="s">
        <v>371</v>
      </c>
      <c r="C37" s="16" t="n">
        <v>210</v>
      </c>
      <c r="D37" s="18" t="n">
        <v>9</v>
      </c>
      <c r="E37" s="13" t="s">
        <v>93</v>
      </c>
      <c r="F37" s="13" t="str">
        <f aca="false">INDEX('Page Plan'!$E$2:$E$33,MATCH(E37,'Page Plan'!$A$2:$A$33,0))</f>
        <v>/fridge-regas</v>
      </c>
      <c r="G37" s="13" t="str">
        <f aca="false">INDEX('Page Plan'!$G$2:$G$33,MATCH(E37,'Page Plan'!$A$2:$A$33,0))</f>
        <v>Optimise existing</v>
      </c>
      <c r="H37" s="18" t="str">
        <f aca="false">IF(A37=INDEX('Page Plan'!$H$2:$H$33,MATCH(E37,'Page Plan'!$A$2:$A$33,0)),"Primary","Secondary")</f>
        <v>Secondary</v>
      </c>
      <c r="I37" s="13" t="str">
        <f aca="false">IF(ISNUMBER(SEARCH("Informational",B37)),IF(ISNUMBER(SEARCH("Commercial",B37)),"Money","Support"),"Money")</f>
        <v>Money</v>
      </c>
    </row>
    <row r="38" customFormat="false" ht="15" hidden="false" customHeight="false" outlineLevel="0" collapsed="false">
      <c r="A38" s="13" t="s">
        <v>404</v>
      </c>
      <c r="B38" s="13" t="s">
        <v>391</v>
      </c>
      <c r="C38" s="16" t="n">
        <v>210</v>
      </c>
      <c r="D38" s="18" t="n">
        <v>7</v>
      </c>
      <c r="E38" s="13" t="s">
        <v>93</v>
      </c>
      <c r="F38" s="13" t="str">
        <f aca="false">INDEX('Page Plan'!$E$2:$E$33,MATCH(E38,'Page Plan'!$A$2:$A$33,0))</f>
        <v>/fridge-regas</v>
      </c>
      <c r="G38" s="13" t="str">
        <f aca="false">INDEX('Page Plan'!$G$2:$G$33,MATCH(E38,'Page Plan'!$A$2:$A$33,0))</f>
        <v>Optimise existing</v>
      </c>
      <c r="H38" s="18" t="str">
        <f aca="false">IF(A38=INDEX('Page Plan'!$H$2:$H$33,MATCH(E38,'Page Plan'!$A$2:$A$33,0)),"Primary","Secondary")</f>
        <v>Secondary</v>
      </c>
      <c r="I38" s="13" t="str">
        <f aca="false">IF(ISNUMBER(SEARCH("Informational",B38)),IF(ISNUMBER(SEARCH("Commercial",B38)),"Money","Support"),"Money")</f>
        <v>Support</v>
      </c>
    </row>
    <row r="39" customFormat="false" ht="15" hidden="false" customHeight="false" outlineLevel="0" collapsed="false">
      <c r="A39" s="13" t="s">
        <v>405</v>
      </c>
      <c r="B39" s="13" t="s">
        <v>391</v>
      </c>
      <c r="C39" s="16" t="n">
        <v>170</v>
      </c>
      <c r="D39" s="18" t="n">
        <v>6</v>
      </c>
      <c r="E39" s="13" t="s">
        <v>93</v>
      </c>
      <c r="F39" s="13" t="str">
        <f aca="false">INDEX('Page Plan'!$E$2:$E$33,MATCH(E39,'Page Plan'!$A$2:$A$33,0))</f>
        <v>/fridge-regas</v>
      </c>
      <c r="G39" s="13" t="str">
        <f aca="false">INDEX('Page Plan'!$G$2:$G$33,MATCH(E39,'Page Plan'!$A$2:$A$33,0))</f>
        <v>Optimise existing</v>
      </c>
      <c r="H39" s="18" t="str">
        <f aca="false">IF(A39=INDEX('Page Plan'!$H$2:$H$33,MATCH(E39,'Page Plan'!$A$2:$A$33,0)),"Primary","Secondary")</f>
        <v>Secondary</v>
      </c>
      <c r="I39" s="13" t="str">
        <f aca="false">IF(ISNUMBER(SEARCH("Informational",B39)),IF(ISNUMBER(SEARCH("Commercial",B39)),"Money","Support"),"Money")</f>
        <v>Support</v>
      </c>
    </row>
    <row r="40" customFormat="false" ht="15" hidden="false" customHeight="false" outlineLevel="0" collapsed="false">
      <c r="A40" s="13" t="s">
        <v>406</v>
      </c>
      <c r="B40" s="13" t="s">
        <v>371</v>
      </c>
      <c r="C40" s="16" t="n">
        <v>140</v>
      </c>
      <c r="D40" s="18" t="n">
        <v>7</v>
      </c>
      <c r="E40" s="13" t="s">
        <v>93</v>
      </c>
      <c r="F40" s="13" t="str">
        <f aca="false">INDEX('Page Plan'!$E$2:$E$33,MATCH(E40,'Page Plan'!$A$2:$A$33,0))</f>
        <v>/fridge-regas</v>
      </c>
      <c r="G40" s="13" t="str">
        <f aca="false">INDEX('Page Plan'!$G$2:$G$33,MATCH(E40,'Page Plan'!$A$2:$A$33,0))</f>
        <v>Optimise existing</v>
      </c>
      <c r="H40" s="18" t="str">
        <f aca="false">IF(A40=INDEX('Page Plan'!$H$2:$H$33,MATCH(E40,'Page Plan'!$A$2:$A$33,0)),"Primary","Secondary")</f>
        <v>Secondary</v>
      </c>
      <c r="I40" s="13" t="str">
        <f aca="false">IF(ISNUMBER(SEARCH("Informational",B40)),IF(ISNUMBER(SEARCH("Commercial",B40)),"Money","Support"),"Money")</f>
        <v>Money</v>
      </c>
    </row>
    <row r="41" customFormat="false" ht="15" hidden="false" customHeight="false" outlineLevel="0" collapsed="false">
      <c r="A41" s="13" t="s">
        <v>407</v>
      </c>
      <c r="B41" s="13" t="s">
        <v>391</v>
      </c>
      <c r="C41" s="16" t="n">
        <v>110</v>
      </c>
      <c r="D41" s="18" t="n">
        <v>6</v>
      </c>
      <c r="E41" s="13" t="s">
        <v>93</v>
      </c>
      <c r="F41" s="13" t="str">
        <f aca="false">INDEX('Page Plan'!$E$2:$E$33,MATCH(E41,'Page Plan'!$A$2:$A$33,0))</f>
        <v>/fridge-regas</v>
      </c>
      <c r="G41" s="13" t="str">
        <f aca="false">INDEX('Page Plan'!$G$2:$G$33,MATCH(E41,'Page Plan'!$A$2:$A$33,0))</f>
        <v>Optimise existing</v>
      </c>
      <c r="H41" s="18" t="str">
        <f aca="false">IF(A41=INDEX('Page Plan'!$H$2:$H$33,MATCH(E41,'Page Plan'!$A$2:$A$33,0)),"Primary","Secondary")</f>
        <v>Secondary</v>
      </c>
      <c r="I41" s="13" t="str">
        <f aca="false">IF(ISNUMBER(SEARCH("Informational",B41)),IF(ISNUMBER(SEARCH("Commercial",B41)),"Money","Support"),"Money")</f>
        <v>Support</v>
      </c>
    </row>
    <row r="42" customFormat="false" ht="15" hidden="false" customHeight="false" outlineLevel="0" collapsed="false">
      <c r="A42" s="13" t="s">
        <v>408</v>
      </c>
      <c r="B42" s="13" t="s">
        <v>391</v>
      </c>
      <c r="C42" s="16" t="n">
        <v>110</v>
      </c>
      <c r="D42" s="18" t="n">
        <v>6</v>
      </c>
      <c r="E42" s="13" t="s">
        <v>93</v>
      </c>
      <c r="F42" s="13" t="str">
        <f aca="false">INDEX('Page Plan'!$E$2:$E$33,MATCH(E42,'Page Plan'!$A$2:$A$33,0))</f>
        <v>/fridge-regas</v>
      </c>
      <c r="G42" s="13" t="str">
        <f aca="false">INDEX('Page Plan'!$G$2:$G$33,MATCH(E42,'Page Plan'!$A$2:$A$33,0))</f>
        <v>Optimise existing</v>
      </c>
      <c r="H42" s="18" t="str">
        <f aca="false">IF(A42=INDEX('Page Plan'!$H$2:$H$33,MATCH(E42,'Page Plan'!$A$2:$A$33,0)),"Primary","Secondary")</f>
        <v>Secondary</v>
      </c>
      <c r="I42" s="13" t="str">
        <f aca="false">IF(ISNUMBER(SEARCH("Informational",B42)),IF(ISNUMBER(SEARCH("Commercial",B42)),"Money","Support"),"Money")</f>
        <v>Support</v>
      </c>
    </row>
    <row r="43" customFormat="false" ht="15" hidden="false" customHeight="false" outlineLevel="0" collapsed="false">
      <c r="A43" s="13" t="s">
        <v>409</v>
      </c>
      <c r="B43" s="13" t="s">
        <v>391</v>
      </c>
      <c r="C43" s="16" t="n">
        <v>110</v>
      </c>
      <c r="D43" s="18" t="n">
        <v>9</v>
      </c>
      <c r="E43" s="13" t="s">
        <v>93</v>
      </c>
      <c r="F43" s="13" t="str">
        <f aca="false">INDEX('Page Plan'!$E$2:$E$33,MATCH(E43,'Page Plan'!$A$2:$A$33,0))</f>
        <v>/fridge-regas</v>
      </c>
      <c r="G43" s="13" t="str">
        <f aca="false">INDEX('Page Plan'!$G$2:$G$33,MATCH(E43,'Page Plan'!$A$2:$A$33,0))</f>
        <v>Optimise existing</v>
      </c>
      <c r="H43" s="18" t="str">
        <f aca="false">IF(A43=INDEX('Page Plan'!$H$2:$H$33,MATCH(E43,'Page Plan'!$A$2:$A$33,0)),"Primary","Secondary")</f>
        <v>Secondary</v>
      </c>
      <c r="I43" s="13" t="str">
        <f aca="false">IF(ISNUMBER(SEARCH("Informational",B43)),IF(ISNUMBER(SEARCH("Commercial",B43)),"Money","Support"),"Money")</f>
        <v>Support</v>
      </c>
    </row>
    <row r="44" customFormat="false" ht="15" hidden="false" customHeight="false" outlineLevel="0" collapsed="false">
      <c r="A44" s="13" t="s">
        <v>410</v>
      </c>
      <c r="B44" s="13" t="s">
        <v>391</v>
      </c>
      <c r="C44" s="16" t="n">
        <v>70</v>
      </c>
      <c r="D44" s="18" t="n">
        <v>7</v>
      </c>
      <c r="E44" s="13" t="s">
        <v>93</v>
      </c>
      <c r="F44" s="13" t="str">
        <f aca="false">INDEX('Page Plan'!$E$2:$E$33,MATCH(E44,'Page Plan'!$A$2:$A$33,0))</f>
        <v>/fridge-regas</v>
      </c>
      <c r="G44" s="13" t="str">
        <f aca="false">INDEX('Page Plan'!$G$2:$G$33,MATCH(E44,'Page Plan'!$A$2:$A$33,0))</f>
        <v>Optimise existing</v>
      </c>
      <c r="H44" s="18" t="str">
        <f aca="false">IF(A44=INDEX('Page Plan'!$H$2:$H$33,MATCH(E44,'Page Plan'!$A$2:$A$33,0)),"Primary","Secondary")</f>
        <v>Secondary</v>
      </c>
      <c r="I44" s="13" t="str">
        <f aca="false">IF(ISNUMBER(SEARCH("Informational",B44)),IF(ISNUMBER(SEARCH("Commercial",B44)),"Money","Support"),"Money")</f>
        <v>Support</v>
      </c>
    </row>
    <row r="45" customFormat="false" ht="15" hidden="false" customHeight="false" outlineLevel="0" collapsed="false">
      <c r="A45" s="13" t="s">
        <v>411</v>
      </c>
      <c r="B45" s="13" t="s">
        <v>371</v>
      </c>
      <c r="C45" s="16" t="n">
        <v>70</v>
      </c>
      <c r="D45" s="18" t="n">
        <v>20</v>
      </c>
      <c r="E45" s="13" t="s">
        <v>93</v>
      </c>
      <c r="F45" s="13" t="str">
        <f aca="false">INDEX('Page Plan'!$E$2:$E$33,MATCH(E45,'Page Plan'!$A$2:$A$33,0))</f>
        <v>/fridge-regas</v>
      </c>
      <c r="G45" s="13" t="str">
        <f aca="false">INDEX('Page Plan'!$G$2:$G$33,MATCH(E45,'Page Plan'!$A$2:$A$33,0))</f>
        <v>Optimise existing</v>
      </c>
      <c r="H45" s="18" t="str">
        <f aca="false">IF(A45=INDEX('Page Plan'!$H$2:$H$33,MATCH(E45,'Page Plan'!$A$2:$A$33,0)),"Primary","Secondary")</f>
        <v>Secondary</v>
      </c>
      <c r="I45" s="13" t="str">
        <f aca="false">IF(ISNUMBER(SEARCH("Informational",B45)),IF(ISNUMBER(SEARCH("Commercial",B45)),"Money","Support"),"Money")</f>
        <v>Money</v>
      </c>
    </row>
    <row r="46" customFormat="false" ht="15" hidden="false" customHeight="false" outlineLevel="0" collapsed="false">
      <c r="A46" s="13" t="s">
        <v>412</v>
      </c>
      <c r="B46" s="13" t="s">
        <v>391</v>
      </c>
      <c r="C46" s="16" t="n">
        <v>70</v>
      </c>
      <c r="D46" s="18" t="n">
        <v>4</v>
      </c>
      <c r="E46" s="13" t="s">
        <v>93</v>
      </c>
      <c r="F46" s="13" t="str">
        <f aca="false">INDEX('Page Plan'!$E$2:$E$33,MATCH(E46,'Page Plan'!$A$2:$A$33,0))</f>
        <v>/fridge-regas</v>
      </c>
      <c r="G46" s="13" t="str">
        <f aca="false">INDEX('Page Plan'!$G$2:$G$33,MATCH(E46,'Page Plan'!$A$2:$A$33,0))</f>
        <v>Optimise existing</v>
      </c>
      <c r="H46" s="18" t="str">
        <f aca="false">IF(A46=INDEX('Page Plan'!$H$2:$H$33,MATCH(E46,'Page Plan'!$A$2:$A$33,0)),"Primary","Secondary")</f>
        <v>Secondary</v>
      </c>
      <c r="I46" s="13" t="str">
        <f aca="false">IF(ISNUMBER(SEARCH("Informational",B46)),IF(ISNUMBER(SEARCH("Commercial",B46)),"Money","Support"),"Money")</f>
        <v>Support</v>
      </c>
    </row>
    <row r="47" customFormat="false" ht="15" hidden="false" customHeight="false" outlineLevel="0" collapsed="false">
      <c r="A47" s="13" t="s">
        <v>413</v>
      </c>
      <c r="B47" s="13" t="s">
        <v>391</v>
      </c>
      <c r="C47" s="16" t="n">
        <v>50</v>
      </c>
      <c r="D47" s="18" t="n">
        <v>10</v>
      </c>
      <c r="E47" s="13" t="s">
        <v>93</v>
      </c>
      <c r="F47" s="13" t="str">
        <f aca="false">INDEX('Page Plan'!$E$2:$E$33,MATCH(E47,'Page Plan'!$A$2:$A$33,0))</f>
        <v>/fridge-regas</v>
      </c>
      <c r="G47" s="13" t="str">
        <f aca="false">INDEX('Page Plan'!$G$2:$G$33,MATCH(E47,'Page Plan'!$A$2:$A$33,0))</f>
        <v>Optimise existing</v>
      </c>
      <c r="H47" s="18" t="str">
        <f aca="false">IF(A47=INDEX('Page Plan'!$H$2:$H$33,MATCH(E47,'Page Plan'!$A$2:$A$33,0)),"Primary","Secondary")</f>
        <v>Secondary</v>
      </c>
      <c r="I47" s="13" t="str">
        <f aca="false">IF(ISNUMBER(SEARCH("Informational",B47)),IF(ISNUMBER(SEARCH("Commercial",B47)),"Money","Support"),"Money")</f>
        <v>Support</v>
      </c>
    </row>
    <row r="48" customFormat="false" ht="15" hidden="false" customHeight="false" outlineLevel="0" collapsed="false">
      <c r="A48" s="13" t="s">
        <v>105</v>
      </c>
      <c r="B48" s="13" t="s">
        <v>391</v>
      </c>
      <c r="C48" s="16" t="n">
        <v>170</v>
      </c>
      <c r="D48" s="18" t="n">
        <v>6</v>
      </c>
      <c r="E48" s="13" t="s">
        <v>102</v>
      </c>
      <c r="F48" s="13" t="str">
        <f aca="false">INDEX('Page Plan'!$E$2:$E$33,MATCH(E48,'Page Plan'!$A$2:$A$33,0))</f>
        <v>/fridge-repair-cost</v>
      </c>
      <c r="G48" s="13" t="str">
        <f aca="false">INDEX('Page Plan'!$G$2:$G$33,MATCH(E48,'Page Plan'!$A$2:$A$33,0))</f>
        <v>Optimise existing</v>
      </c>
      <c r="H48" s="18" t="str">
        <f aca="false">IF(A48=INDEX('Page Plan'!$H$2:$H$33,MATCH(E48,'Page Plan'!$A$2:$A$33,0)),"Primary","Secondary")</f>
        <v>Primary</v>
      </c>
      <c r="I48" s="13" t="str">
        <f aca="false">IF(ISNUMBER(SEARCH("Informational",B48)),IF(ISNUMBER(SEARCH("Commercial",B48)),"Money","Support"),"Money")</f>
        <v>Support</v>
      </c>
    </row>
    <row r="49" customFormat="false" ht="15" hidden="false" customHeight="false" outlineLevel="0" collapsed="false">
      <c r="A49" s="13" t="s">
        <v>414</v>
      </c>
      <c r="B49" s="13" t="s">
        <v>391</v>
      </c>
      <c r="C49" s="16" t="n">
        <v>140</v>
      </c>
      <c r="D49" s="18" t="n">
        <v>7</v>
      </c>
      <c r="E49" s="13" t="s">
        <v>102</v>
      </c>
      <c r="F49" s="13" t="str">
        <f aca="false">INDEX('Page Plan'!$E$2:$E$33,MATCH(E49,'Page Plan'!$A$2:$A$33,0))</f>
        <v>/fridge-repair-cost</v>
      </c>
      <c r="G49" s="13" t="str">
        <f aca="false">INDEX('Page Plan'!$G$2:$G$33,MATCH(E49,'Page Plan'!$A$2:$A$33,0))</f>
        <v>Optimise existing</v>
      </c>
      <c r="H49" s="18" t="str">
        <f aca="false">IF(A49=INDEX('Page Plan'!$H$2:$H$33,MATCH(E49,'Page Plan'!$A$2:$A$33,0)),"Primary","Secondary")</f>
        <v>Secondary</v>
      </c>
      <c r="I49" s="13" t="str">
        <f aca="false">IF(ISNUMBER(SEARCH("Informational",B49)),IF(ISNUMBER(SEARCH("Commercial",B49)),"Money","Support"),"Money")</f>
        <v>Support</v>
      </c>
    </row>
    <row r="50" customFormat="false" ht="15" hidden="false" customHeight="false" outlineLevel="0" collapsed="false">
      <c r="A50" s="13" t="s">
        <v>415</v>
      </c>
      <c r="B50" s="13" t="s">
        <v>391</v>
      </c>
      <c r="C50" s="16" t="n">
        <v>140</v>
      </c>
      <c r="D50" s="18" t="n">
        <v>5</v>
      </c>
      <c r="E50" s="13" t="s">
        <v>102</v>
      </c>
      <c r="F50" s="13" t="str">
        <f aca="false">INDEX('Page Plan'!$E$2:$E$33,MATCH(E50,'Page Plan'!$A$2:$A$33,0))</f>
        <v>/fridge-repair-cost</v>
      </c>
      <c r="G50" s="13" t="str">
        <f aca="false">INDEX('Page Plan'!$G$2:$G$33,MATCH(E50,'Page Plan'!$A$2:$A$33,0))</f>
        <v>Optimise existing</v>
      </c>
      <c r="H50" s="18" t="str">
        <f aca="false">IF(A50=INDEX('Page Plan'!$H$2:$H$33,MATCH(E50,'Page Plan'!$A$2:$A$33,0)),"Primary","Secondary")</f>
        <v>Secondary</v>
      </c>
      <c r="I50" s="13" t="str">
        <f aca="false">IF(ISNUMBER(SEARCH("Informational",B50)),IF(ISNUMBER(SEARCH("Commercial",B50)),"Money","Support"),"Money")</f>
        <v>Support</v>
      </c>
    </row>
    <row r="51" customFormat="false" ht="15" hidden="false" customHeight="false" outlineLevel="0" collapsed="false">
      <c r="A51" s="13" t="s">
        <v>416</v>
      </c>
      <c r="B51" s="13" t="s">
        <v>391</v>
      </c>
      <c r="C51" s="16" t="n">
        <v>140</v>
      </c>
      <c r="D51" s="18" t="n">
        <v>4</v>
      </c>
      <c r="E51" s="13" t="s">
        <v>102</v>
      </c>
      <c r="F51" s="13" t="str">
        <f aca="false">INDEX('Page Plan'!$E$2:$E$33,MATCH(E51,'Page Plan'!$A$2:$A$33,0))</f>
        <v>/fridge-repair-cost</v>
      </c>
      <c r="G51" s="13" t="str">
        <f aca="false">INDEX('Page Plan'!$G$2:$G$33,MATCH(E51,'Page Plan'!$A$2:$A$33,0))</f>
        <v>Optimise existing</v>
      </c>
      <c r="H51" s="18" t="str">
        <f aca="false">IF(A51=INDEX('Page Plan'!$H$2:$H$33,MATCH(E51,'Page Plan'!$A$2:$A$33,0)),"Primary","Secondary")</f>
        <v>Secondary</v>
      </c>
      <c r="I51" s="13" t="str">
        <f aca="false">IF(ISNUMBER(SEARCH("Informational",B51)),IF(ISNUMBER(SEARCH("Commercial",B51)),"Money","Support"),"Money")</f>
        <v>Support</v>
      </c>
    </row>
    <row r="52" customFormat="false" ht="15" hidden="false" customHeight="false" outlineLevel="0" collapsed="false">
      <c r="A52" s="13" t="s">
        <v>417</v>
      </c>
      <c r="B52" s="13" t="s">
        <v>391</v>
      </c>
      <c r="C52" s="16" t="n">
        <v>140</v>
      </c>
      <c r="D52" s="18" t="n">
        <v>15</v>
      </c>
      <c r="E52" s="13" t="s">
        <v>102</v>
      </c>
      <c r="F52" s="13" t="str">
        <f aca="false">INDEX('Page Plan'!$E$2:$E$33,MATCH(E52,'Page Plan'!$A$2:$A$33,0))</f>
        <v>/fridge-repair-cost</v>
      </c>
      <c r="G52" s="13" t="str">
        <f aca="false">INDEX('Page Plan'!$G$2:$G$33,MATCH(E52,'Page Plan'!$A$2:$A$33,0))</f>
        <v>Optimise existing</v>
      </c>
      <c r="H52" s="18" t="str">
        <f aca="false">IF(A52=INDEX('Page Plan'!$H$2:$H$33,MATCH(E52,'Page Plan'!$A$2:$A$33,0)),"Primary","Secondary")</f>
        <v>Secondary</v>
      </c>
      <c r="I52" s="13" t="str">
        <f aca="false">IF(ISNUMBER(SEARCH("Informational",B52)),IF(ISNUMBER(SEARCH("Commercial",B52)),"Money","Support"),"Money")</f>
        <v>Support</v>
      </c>
    </row>
    <row r="53" customFormat="false" ht="15" hidden="false" customHeight="false" outlineLevel="0" collapsed="false">
      <c r="A53" s="13" t="s">
        <v>418</v>
      </c>
      <c r="B53" s="13" t="s">
        <v>391</v>
      </c>
      <c r="C53" s="16" t="n">
        <v>90</v>
      </c>
      <c r="D53" s="18" t="n">
        <v>17</v>
      </c>
      <c r="E53" s="13" t="s">
        <v>102</v>
      </c>
      <c r="F53" s="13" t="str">
        <f aca="false">INDEX('Page Plan'!$E$2:$E$33,MATCH(E53,'Page Plan'!$A$2:$A$33,0))</f>
        <v>/fridge-repair-cost</v>
      </c>
      <c r="G53" s="13" t="str">
        <f aca="false">INDEX('Page Plan'!$G$2:$G$33,MATCH(E53,'Page Plan'!$A$2:$A$33,0))</f>
        <v>Optimise existing</v>
      </c>
      <c r="H53" s="18" t="str">
        <f aca="false">IF(A53=INDEX('Page Plan'!$H$2:$H$33,MATCH(E53,'Page Plan'!$A$2:$A$33,0)),"Primary","Secondary")</f>
        <v>Secondary</v>
      </c>
      <c r="I53" s="13" t="str">
        <f aca="false">IF(ISNUMBER(SEARCH("Informational",B53)),IF(ISNUMBER(SEARCH("Commercial",B53)),"Money","Support"),"Money")</f>
        <v>Support</v>
      </c>
    </row>
    <row r="54" customFormat="false" ht="15" hidden="false" customHeight="false" outlineLevel="0" collapsed="false">
      <c r="A54" s="13" t="s">
        <v>419</v>
      </c>
      <c r="B54" s="13" t="s">
        <v>391</v>
      </c>
      <c r="C54" s="16" t="n">
        <v>70</v>
      </c>
      <c r="D54" s="18" t="n">
        <v>15</v>
      </c>
      <c r="E54" s="13" t="s">
        <v>102</v>
      </c>
      <c r="F54" s="13" t="str">
        <f aca="false">INDEX('Page Plan'!$E$2:$E$33,MATCH(E54,'Page Plan'!$A$2:$A$33,0))</f>
        <v>/fridge-repair-cost</v>
      </c>
      <c r="G54" s="13" t="str">
        <f aca="false">INDEX('Page Plan'!$G$2:$G$33,MATCH(E54,'Page Plan'!$A$2:$A$33,0))</f>
        <v>Optimise existing</v>
      </c>
      <c r="H54" s="18" t="str">
        <f aca="false">IF(A54=INDEX('Page Plan'!$H$2:$H$33,MATCH(E54,'Page Plan'!$A$2:$A$33,0)),"Primary","Secondary")</f>
        <v>Secondary</v>
      </c>
      <c r="I54" s="13" t="str">
        <f aca="false">IF(ISNUMBER(SEARCH("Informational",B54)),IF(ISNUMBER(SEARCH("Commercial",B54)),"Money","Support"),"Money")</f>
        <v>Support</v>
      </c>
    </row>
    <row r="55" customFormat="false" ht="15" hidden="false" customHeight="false" outlineLevel="0" collapsed="false">
      <c r="A55" s="13" t="s">
        <v>420</v>
      </c>
      <c r="B55" s="13" t="s">
        <v>391</v>
      </c>
      <c r="C55" s="16" t="n">
        <v>50</v>
      </c>
      <c r="D55" s="18" t="n">
        <v>7</v>
      </c>
      <c r="E55" s="13" t="s">
        <v>102</v>
      </c>
      <c r="F55" s="13" t="str">
        <f aca="false">INDEX('Page Plan'!$E$2:$E$33,MATCH(E55,'Page Plan'!$A$2:$A$33,0))</f>
        <v>/fridge-repair-cost</v>
      </c>
      <c r="G55" s="13" t="str">
        <f aca="false">INDEX('Page Plan'!$G$2:$G$33,MATCH(E55,'Page Plan'!$A$2:$A$33,0))</f>
        <v>Optimise existing</v>
      </c>
      <c r="H55" s="18" t="str">
        <f aca="false">IF(A55=INDEX('Page Plan'!$H$2:$H$33,MATCH(E55,'Page Plan'!$A$2:$A$33,0)),"Primary","Secondary")</f>
        <v>Secondary</v>
      </c>
      <c r="I55" s="13" t="str">
        <f aca="false">IF(ISNUMBER(SEARCH("Informational",B55)),IF(ISNUMBER(SEARCH("Commercial",B55)),"Money","Support"),"Money")</f>
        <v>Support</v>
      </c>
    </row>
    <row r="56" customFormat="false" ht="15" hidden="false" customHeight="false" outlineLevel="0" collapsed="false">
      <c r="A56" s="13" t="s">
        <v>114</v>
      </c>
      <c r="B56" s="13" t="s">
        <v>371</v>
      </c>
      <c r="C56" s="16" t="n">
        <v>210</v>
      </c>
      <c r="D56" s="18" t="n">
        <v>5</v>
      </c>
      <c r="E56" s="13" t="s">
        <v>111</v>
      </c>
      <c r="F56" s="13" t="str">
        <f aca="false">INDEX('Page Plan'!$E$2:$E$33,MATCH(E56,'Page Plan'!$A$2:$A$33,0))</f>
        <v>/emergency-fridge-repair</v>
      </c>
      <c r="G56" s="13" t="str">
        <f aca="false">INDEX('Page Plan'!$G$2:$G$33,MATCH(E56,'Page Plan'!$A$2:$A$33,0))</f>
        <v>Optimise existing</v>
      </c>
      <c r="H56" s="18" t="str">
        <f aca="false">IF(A56=INDEX('Page Plan'!$H$2:$H$33,MATCH(E56,'Page Plan'!$A$2:$A$33,0)),"Primary","Secondary")</f>
        <v>Primary</v>
      </c>
      <c r="I56" s="13" t="str">
        <f aca="false">IF(ISNUMBER(SEARCH("Informational",B56)),IF(ISNUMBER(SEARCH("Commercial",B56)),"Money","Support"),"Money")</f>
        <v>Money</v>
      </c>
    </row>
    <row r="57" customFormat="false" ht="15" hidden="false" customHeight="false" outlineLevel="0" collapsed="false">
      <c r="A57" s="13" t="s">
        <v>421</v>
      </c>
      <c r="B57" s="13" t="s">
        <v>391</v>
      </c>
      <c r="C57" s="16" t="n">
        <v>140</v>
      </c>
      <c r="D57" s="18" t="n">
        <v>7</v>
      </c>
      <c r="E57" s="13" t="s">
        <v>111</v>
      </c>
      <c r="F57" s="13" t="str">
        <f aca="false">INDEX('Page Plan'!$E$2:$E$33,MATCH(E57,'Page Plan'!$A$2:$A$33,0))</f>
        <v>/emergency-fridge-repair</v>
      </c>
      <c r="G57" s="13" t="str">
        <f aca="false">INDEX('Page Plan'!$G$2:$G$33,MATCH(E57,'Page Plan'!$A$2:$A$33,0))</f>
        <v>Optimise existing</v>
      </c>
      <c r="H57" s="18" t="str">
        <f aca="false">IF(A57=INDEX('Page Plan'!$H$2:$H$33,MATCH(E57,'Page Plan'!$A$2:$A$33,0)),"Primary","Secondary")</f>
        <v>Secondary</v>
      </c>
      <c r="I57" s="13" t="str">
        <f aca="false">IF(ISNUMBER(SEARCH("Informational",B57)),IF(ISNUMBER(SEARCH("Commercial",B57)),"Money","Support"),"Money")</f>
        <v>Support</v>
      </c>
    </row>
    <row r="58" customFormat="false" ht="15" hidden="false" customHeight="false" outlineLevel="0" collapsed="false">
      <c r="A58" s="13" t="s">
        <v>422</v>
      </c>
      <c r="B58" s="13" t="s">
        <v>391</v>
      </c>
      <c r="C58" s="16" t="n">
        <v>70</v>
      </c>
      <c r="D58" s="18" t="n">
        <v>16</v>
      </c>
      <c r="E58" s="13" t="s">
        <v>111</v>
      </c>
      <c r="F58" s="13" t="str">
        <f aca="false">INDEX('Page Plan'!$E$2:$E$33,MATCH(E58,'Page Plan'!$A$2:$A$33,0))</f>
        <v>/emergency-fridge-repair</v>
      </c>
      <c r="G58" s="13" t="str">
        <f aca="false">INDEX('Page Plan'!$G$2:$G$33,MATCH(E58,'Page Plan'!$A$2:$A$33,0))</f>
        <v>Optimise existing</v>
      </c>
      <c r="H58" s="18" t="str">
        <f aca="false">IF(A58=INDEX('Page Plan'!$H$2:$H$33,MATCH(E58,'Page Plan'!$A$2:$A$33,0)),"Primary","Secondary")</f>
        <v>Secondary</v>
      </c>
      <c r="I58" s="13" t="str">
        <f aca="false">IF(ISNUMBER(SEARCH("Informational",B58)),IF(ISNUMBER(SEARCH("Commercial",B58)),"Money","Support"),"Money")</f>
        <v>Support</v>
      </c>
    </row>
    <row r="59" customFormat="false" ht="15" hidden="false" customHeight="false" outlineLevel="0" collapsed="false">
      <c r="A59" s="13" t="s">
        <v>423</v>
      </c>
      <c r="B59" s="13" t="s">
        <v>371</v>
      </c>
      <c r="C59" s="16" t="n">
        <v>70</v>
      </c>
      <c r="D59" s="18" t="n">
        <v>3</v>
      </c>
      <c r="E59" s="13" t="s">
        <v>111</v>
      </c>
      <c r="F59" s="13" t="str">
        <f aca="false">INDEX('Page Plan'!$E$2:$E$33,MATCH(E59,'Page Plan'!$A$2:$A$33,0))</f>
        <v>/emergency-fridge-repair</v>
      </c>
      <c r="G59" s="13" t="str">
        <f aca="false">INDEX('Page Plan'!$G$2:$G$33,MATCH(E59,'Page Plan'!$A$2:$A$33,0))</f>
        <v>Optimise existing</v>
      </c>
      <c r="H59" s="18" t="str">
        <f aca="false">IF(A59=INDEX('Page Plan'!$H$2:$H$33,MATCH(E59,'Page Plan'!$A$2:$A$33,0)),"Primary","Secondary")</f>
        <v>Secondary</v>
      </c>
      <c r="I59" s="13" t="str">
        <f aca="false">IF(ISNUMBER(SEARCH("Informational",B59)),IF(ISNUMBER(SEARCH("Commercial",B59)),"Money","Support"),"Money")</f>
        <v>Money</v>
      </c>
    </row>
    <row r="60" customFormat="false" ht="15" hidden="false" customHeight="false" outlineLevel="0" collapsed="false">
      <c r="A60" s="13" t="s">
        <v>424</v>
      </c>
      <c r="B60" s="13" t="s">
        <v>369</v>
      </c>
      <c r="C60" s="16" t="n">
        <v>50</v>
      </c>
      <c r="D60" s="18" t="n">
        <v>14</v>
      </c>
      <c r="E60" s="13" t="s">
        <v>111</v>
      </c>
      <c r="F60" s="13" t="str">
        <f aca="false">INDEX('Page Plan'!$E$2:$E$33,MATCH(E60,'Page Plan'!$A$2:$A$33,0))</f>
        <v>/emergency-fridge-repair</v>
      </c>
      <c r="G60" s="13" t="str">
        <f aca="false">INDEX('Page Plan'!$G$2:$G$33,MATCH(E60,'Page Plan'!$A$2:$A$33,0))</f>
        <v>Optimise existing</v>
      </c>
      <c r="H60" s="18" t="str">
        <f aca="false">IF(A60=INDEX('Page Plan'!$H$2:$H$33,MATCH(E60,'Page Plan'!$A$2:$A$33,0)),"Primary","Secondary")</f>
        <v>Secondary</v>
      </c>
      <c r="I60" s="13" t="str">
        <f aca="false">IF(ISNUMBER(SEARCH("Informational",B60)),IF(ISNUMBER(SEARCH("Commercial",B60)),"Money","Support"),"Money")</f>
        <v>Money</v>
      </c>
    </row>
    <row r="61" customFormat="false" ht="15" hidden="false" customHeight="false" outlineLevel="0" collapsed="false">
      <c r="A61" s="13" t="s">
        <v>425</v>
      </c>
      <c r="B61" s="13" t="s">
        <v>371</v>
      </c>
      <c r="C61" s="16" t="n">
        <v>50</v>
      </c>
      <c r="D61" s="18" t="n">
        <v>9</v>
      </c>
      <c r="E61" s="13" t="s">
        <v>111</v>
      </c>
      <c r="F61" s="13" t="str">
        <f aca="false">INDEX('Page Plan'!$E$2:$E$33,MATCH(E61,'Page Plan'!$A$2:$A$33,0))</f>
        <v>/emergency-fridge-repair</v>
      </c>
      <c r="G61" s="13" t="str">
        <f aca="false">INDEX('Page Plan'!$G$2:$G$33,MATCH(E61,'Page Plan'!$A$2:$A$33,0))</f>
        <v>Optimise existing</v>
      </c>
      <c r="H61" s="18" t="str">
        <f aca="false">IF(A61=INDEX('Page Plan'!$H$2:$H$33,MATCH(E61,'Page Plan'!$A$2:$A$33,0)),"Primary","Secondary")</f>
        <v>Secondary</v>
      </c>
      <c r="I61" s="13" t="str">
        <f aca="false">IF(ISNUMBER(SEARCH("Informational",B61)),IF(ISNUMBER(SEARCH("Commercial",B61)),"Money","Support"),"Money")</f>
        <v>Money</v>
      </c>
    </row>
    <row r="62" customFormat="false" ht="15" hidden="false" customHeight="false" outlineLevel="0" collapsed="false">
      <c r="A62" s="13" t="s">
        <v>125</v>
      </c>
      <c r="B62" s="13" t="s">
        <v>391</v>
      </c>
      <c r="C62" s="16" t="n">
        <v>110</v>
      </c>
      <c r="D62" s="18" t="n">
        <v>4</v>
      </c>
      <c r="E62" s="13" t="s">
        <v>120</v>
      </c>
      <c r="F62" s="13" t="str">
        <f aca="false">INDEX('Page Plan'!$E$2:$E$33,MATCH(E62,'Page Plan'!$A$2:$A$33,0))</f>
        <v>/brands</v>
      </c>
      <c r="G62" s="13" t="str">
        <f aca="false">INDEX('Page Plan'!$G$2:$G$33,MATCH(E62,'Page Plan'!$A$2:$A$33,0))</f>
        <v>Optimise existing</v>
      </c>
      <c r="H62" s="18" t="str">
        <f aca="false">IF(A62=INDEX('Page Plan'!$H$2:$H$33,MATCH(E62,'Page Plan'!$A$2:$A$33,0)),"Primary","Secondary")</f>
        <v>Primary</v>
      </c>
      <c r="I62" s="13" t="str">
        <f aca="false">IF(ISNUMBER(SEARCH("Informational",B62)),IF(ISNUMBER(SEARCH("Commercial",B62)),"Money","Support"),"Money")</f>
        <v>Support</v>
      </c>
    </row>
    <row r="63" customFormat="false" ht="15" hidden="false" customHeight="false" outlineLevel="0" collapsed="false">
      <c r="A63" s="13" t="s">
        <v>426</v>
      </c>
      <c r="B63" s="13" t="s">
        <v>369</v>
      </c>
      <c r="C63" s="16" t="n">
        <v>70</v>
      </c>
      <c r="D63" s="18" t="n">
        <v>5</v>
      </c>
      <c r="E63" s="13" t="s">
        <v>120</v>
      </c>
      <c r="F63" s="13" t="str">
        <f aca="false">INDEX('Page Plan'!$E$2:$E$33,MATCH(E63,'Page Plan'!$A$2:$A$33,0))</f>
        <v>/brands</v>
      </c>
      <c r="G63" s="13" t="str">
        <f aca="false">INDEX('Page Plan'!$G$2:$G$33,MATCH(E63,'Page Plan'!$A$2:$A$33,0))</f>
        <v>Optimise existing</v>
      </c>
      <c r="H63" s="18" t="str">
        <f aca="false">IF(A63=INDEX('Page Plan'!$H$2:$H$33,MATCH(E63,'Page Plan'!$A$2:$A$33,0)),"Primary","Secondary")</f>
        <v>Secondary</v>
      </c>
      <c r="I63" s="13" t="str">
        <f aca="false">IF(ISNUMBER(SEARCH("Informational",B63)),IF(ISNUMBER(SEARCH("Commercial",B63)),"Money","Support"),"Money")</f>
        <v>Money</v>
      </c>
    </row>
    <row r="64" customFormat="false" ht="15" hidden="false" customHeight="false" outlineLevel="0" collapsed="false">
      <c r="A64" s="13" t="s">
        <v>427</v>
      </c>
      <c r="B64" s="13" t="s">
        <v>371</v>
      </c>
      <c r="C64" s="16" t="n">
        <v>70</v>
      </c>
      <c r="D64" s="18" t="n">
        <v>4</v>
      </c>
      <c r="E64" s="13" t="s">
        <v>120</v>
      </c>
      <c r="F64" s="13" t="str">
        <f aca="false">INDEX('Page Plan'!$E$2:$E$33,MATCH(E64,'Page Plan'!$A$2:$A$33,0))</f>
        <v>/brands</v>
      </c>
      <c r="G64" s="13" t="str">
        <f aca="false">INDEX('Page Plan'!$G$2:$G$33,MATCH(E64,'Page Plan'!$A$2:$A$33,0))</f>
        <v>Optimise existing</v>
      </c>
      <c r="H64" s="18" t="str">
        <f aca="false">IF(A64=INDEX('Page Plan'!$H$2:$H$33,MATCH(E64,'Page Plan'!$A$2:$A$33,0)),"Primary","Secondary")</f>
        <v>Secondary</v>
      </c>
      <c r="I64" s="13" t="str">
        <f aca="false">IF(ISNUMBER(SEARCH("Informational",B64)),IF(ISNUMBER(SEARCH("Commercial",B64)),"Money","Support"),"Money")</f>
        <v>Money</v>
      </c>
    </row>
    <row r="65" customFormat="false" ht="15" hidden="false" customHeight="false" outlineLevel="0" collapsed="false">
      <c r="A65" s="13" t="s">
        <v>428</v>
      </c>
      <c r="B65" s="13" t="s">
        <v>391</v>
      </c>
      <c r="C65" s="16" t="n">
        <v>70</v>
      </c>
      <c r="D65" s="18" t="n">
        <v>4</v>
      </c>
      <c r="E65" s="13" t="s">
        <v>120</v>
      </c>
      <c r="F65" s="13" t="str">
        <f aca="false">INDEX('Page Plan'!$E$2:$E$33,MATCH(E65,'Page Plan'!$A$2:$A$33,0))</f>
        <v>/brands</v>
      </c>
      <c r="G65" s="13" t="str">
        <f aca="false">INDEX('Page Plan'!$G$2:$G$33,MATCH(E65,'Page Plan'!$A$2:$A$33,0))</f>
        <v>Optimise existing</v>
      </c>
      <c r="H65" s="18" t="str">
        <f aca="false">IF(A65=INDEX('Page Plan'!$H$2:$H$33,MATCH(E65,'Page Plan'!$A$2:$A$33,0)),"Primary","Secondary")</f>
        <v>Secondary</v>
      </c>
      <c r="I65" s="13" t="str">
        <f aca="false">IF(ISNUMBER(SEARCH("Informational",B65)),IF(ISNUMBER(SEARCH("Commercial",B65)),"Money","Support"),"Money")</f>
        <v>Support</v>
      </c>
    </row>
    <row r="66" customFormat="false" ht="15" hidden="false" customHeight="false" outlineLevel="0" collapsed="false">
      <c r="A66" s="13" t="s">
        <v>429</v>
      </c>
      <c r="B66" s="13" t="s">
        <v>391</v>
      </c>
      <c r="C66" s="16" t="n">
        <v>70</v>
      </c>
      <c r="D66" s="18" t="n">
        <v>12</v>
      </c>
      <c r="E66" s="13" t="s">
        <v>120</v>
      </c>
      <c r="F66" s="13" t="str">
        <f aca="false">INDEX('Page Plan'!$E$2:$E$33,MATCH(E66,'Page Plan'!$A$2:$A$33,0))</f>
        <v>/brands</v>
      </c>
      <c r="G66" s="13" t="str">
        <f aca="false">INDEX('Page Plan'!$G$2:$G$33,MATCH(E66,'Page Plan'!$A$2:$A$33,0))</f>
        <v>Optimise existing</v>
      </c>
      <c r="H66" s="18" t="str">
        <f aca="false">IF(A66=INDEX('Page Plan'!$H$2:$H$33,MATCH(E66,'Page Plan'!$A$2:$A$33,0)),"Primary","Secondary")</f>
        <v>Secondary</v>
      </c>
      <c r="I66" s="13" t="str">
        <f aca="false">IF(ISNUMBER(SEARCH("Informational",B66)),IF(ISNUMBER(SEARCH("Commercial",B66)),"Money","Support"),"Money")</f>
        <v>Support</v>
      </c>
    </row>
    <row r="67" customFormat="false" ht="15" hidden="false" customHeight="false" outlineLevel="0" collapsed="false">
      <c r="A67" s="13" t="s">
        <v>430</v>
      </c>
      <c r="B67" s="13" t="s">
        <v>391</v>
      </c>
      <c r="C67" s="16" t="n">
        <v>50</v>
      </c>
      <c r="D67" s="18" t="n">
        <v>6</v>
      </c>
      <c r="E67" s="13" t="s">
        <v>120</v>
      </c>
      <c r="F67" s="13" t="str">
        <f aca="false">INDEX('Page Plan'!$E$2:$E$33,MATCH(E67,'Page Plan'!$A$2:$A$33,0))</f>
        <v>/brands</v>
      </c>
      <c r="G67" s="13" t="str">
        <f aca="false">INDEX('Page Plan'!$G$2:$G$33,MATCH(E67,'Page Plan'!$A$2:$A$33,0))</f>
        <v>Optimise existing</v>
      </c>
      <c r="H67" s="18" t="str">
        <f aca="false">IF(A67=INDEX('Page Plan'!$H$2:$H$33,MATCH(E67,'Page Plan'!$A$2:$A$33,0)),"Primary","Secondary")</f>
        <v>Secondary</v>
      </c>
      <c r="I67" s="13" t="str">
        <f aca="false">IF(ISNUMBER(SEARCH("Informational",B67)),IF(ISNUMBER(SEARCH("Commercial",B67)),"Money","Support"),"Money")</f>
        <v>Support</v>
      </c>
    </row>
    <row r="68" customFormat="false" ht="15" hidden="false" customHeight="false" outlineLevel="0" collapsed="false">
      <c r="A68" s="13" t="s">
        <v>134</v>
      </c>
      <c r="B68" s="13" t="s">
        <v>391</v>
      </c>
      <c r="C68" s="16" t="n">
        <v>390</v>
      </c>
      <c r="D68" s="18" t="n">
        <v>7</v>
      </c>
      <c r="E68" s="13" t="s">
        <v>131</v>
      </c>
      <c r="F68" s="13" t="str">
        <f aca="false">INDEX('Page Plan'!$E$2:$E$33,MATCH(E68,'Page Plan'!$A$2:$A$33,0))</f>
        <v>/blog-fridge-not-cooling-causes</v>
      </c>
      <c r="G68" s="13" t="str">
        <f aca="false">INDEX('Page Plan'!$G$2:$G$33,MATCH(E68,'Page Plan'!$A$2:$A$33,0))</f>
        <v>Optimise existing</v>
      </c>
      <c r="H68" s="18" t="str">
        <f aca="false">IF(A68=INDEX('Page Plan'!$H$2:$H$33,MATCH(E68,'Page Plan'!$A$2:$A$33,0)),"Primary","Secondary")</f>
        <v>Primary</v>
      </c>
      <c r="I68" s="13" t="str">
        <f aca="false">IF(ISNUMBER(SEARCH("Informational",B68)),IF(ISNUMBER(SEARCH("Commercial",B68)),"Money","Support"),"Money")</f>
        <v>Support</v>
      </c>
    </row>
    <row r="69" customFormat="false" ht="15" hidden="false" customHeight="false" outlineLevel="0" collapsed="false">
      <c r="A69" s="13" t="s">
        <v>431</v>
      </c>
      <c r="B69" s="13" t="s">
        <v>391</v>
      </c>
      <c r="C69" s="16" t="n">
        <v>210</v>
      </c>
      <c r="D69" s="18" t="n">
        <v>11</v>
      </c>
      <c r="E69" s="13" t="s">
        <v>131</v>
      </c>
      <c r="F69" s="13" t="str">
        <f aca="false">INDEX('Page Plan'!$E$2:$E$33,MATCH(E69,'Page Plan'!$A$2:$A$33,0))</f>
        <v>/blog-fridge-not-cooling-causes</v>
      </c>
      <c r="G69" s="13" t="str">
        <f aca="false">INDEX('Page Plan'!$G$2:$G$33,MATCH(E69,'Page Plan'!$A$2:$A$33,0))</f>
        <v>Optimise existing</v>
      </c>
      <c r="H69" s="18" t="str">
        <f aca="false">IF(A69=INDEX('Page Plan'!$H$2:$H$33,MATCH(E69,'Page Plan'!$A$2:$A$33,0)),"Primary","Secondary")</f>
        <v>Secondary</v>
      </c>
      <c r="I69" s="13" t="str">
        <f aca="false">IF(ISNUMBER(SEARCH("Informational",B69)),IF(ISNUMBER(SEARCH("Commercial",B69)),"Money","Support"),"Money")</f>
        <v>Support</v>
      </c>
    </row>
    <row r="70" customFormat="false" ht="15" hidden="false" customHeight="false" outlineLevel="0" collapsed="false">
      <c r="A70" s="13" t="s">
        <v>432</v>
      </c>
      <c r="B70" s="13" t="s">
        <v>391</v>
      </c>
      <c r="C70" s="16" t="n">
        <v>170</v>
      </c>
      <c r="D70" s="18" t="n">
        <v>17</v>
      </c>
      <c r="E70" s="13" t="s">
        <v>131</v>
      </c>
      <c r="F70" s="13" t="str">
        <f aca="false">INDEX('Page Plan'!$E$2:$E$33,MATCH(E70,'Page Plan'!$A$2:$A$33,0))</f>
        <v>/blog-fridge-not-cooling-causes</v>
      </c>
      <c r="G70" s="13" t="str">
        <f aca="false">INDEX('Page Plan'!$G$2:$G$33,MATCH(E70,'Page Plan'!$A$2:$A$33,0))</f>
        <v>Optimise existing</v>
      </c>
      <c r="H70" s="18" t="str">
        <f aca="false">IF(A70=INDEX('Page Plan'!$H$2:$H$33,MATCH(E70,'Page Plan'!$A$2:$A$33,0)),"Primary","Secondary")</f>
        <v>Secondary</v>
      </c>
      <c r="I70" s="13" t="str">
        <f aca="false">IF(ISNUMBER(SEARCH("Informational",B70)),IF(ISNUMBER(SEARCH("Commercial",B70)),"Money","Support"),"Money")</f>
        <v>Support</v>
      </c>
    </row>
    <row r="71" customFormat="false" ht="15" hidden="false" customHeight="false" outlineLevel="0" collapsed="false">
      <c r="A71" s="13" t="s">
        <v>433</v>
      </c>
      <c r="B71" s="13" t="s">
        <v>391</v>
      </c>
      <c r="C71" s="16" t="n">
        <v>140</v>
      </c>
      <c r="D71" s="18" t="n">
        <v>12</v>
      </c>
      <c r="E71" s="13" t="s">
        <v>131</v>
      </c>
      <c r="F71" s="13" t="str">
        <f aca="false">INDEX('Page Plan'!$E$2:$E$33,MATCH(E71,'Page Plan'!$A$2:$A$33,0))</f>
        <v>/blog-fridge-not-cooling-causes</v>
      </c>
      <c r="G71" s="13" t="str">
        <f aca="false">INDEX('Page Plan'!$G$2:$G$33,MATCH(E71,'Page Plan'!$A$2:$A$33,0))</f>
        <v>Optimise existing</v>
      </c>
      <c r="H71" s="18" t="str">
        <f aca="false">IF(A71=INDEX('Page Plan'!$H$2:$H$33,MATCH(E71,'Page Plan'!$A$2:$A$33,0)),"Primary","Secondary")</f>
        <v>Secondary</v>
      </c>
      <c r="I71" s="13" t="str">
        <f aca="false">IF(ISNUMBER(SEARCH("Informational",B71)),IF(ISNUMBER(SEARCH("Commercial",B71)),"Money","Support"),"Money")</f>
        <v>Support</v>
      </c>
    </row>
    <row r="72" customFormat="false" ht="15" hidden="false" customHeight="false" outlineLevel="0" collapsed="false">
      <c r="A72" s="13" t="s">
        <v>434</v>
      </c>
      <c r="B72" s="13" t="s">
        <v>391</v>
      </c>
      <c r="C72" s="16" t="n">
        <v>140</v>
      </c>
      <c r="D72" s="18" t="n">
        <v>16</v>
      </c>
      <c r="E72" s="13" t="s">
        <v>131</v>
      </c>
      <c r="F72" s="13" t="str">
        <f aca="false">INDEX('Page Plan'!$E$2:$E$33,MATCH(E72,'Page Plan'!$A$2:$A$33,0))</f>
        <v>/blog-fridge-not-cooling-causes</v>
      </c>
      <c r="G72" s="13" t="str">
        <f aca="false">INDEX('Page Plan'!$G$2:$G$33,MATCH(E72,'Page Plan'!$A$2:$A$33,0))</f>
        <v>Optimise existing</v>
      </c>
      <c r="H72" s="18" t="str">
        <f aca="false">IF(A72=INDEX('Page Plan'!$H$2:$H$33,MATCH(E72,'Page Plan'!$A$2:$A$33,0)),"Primary","Secondary")</f>
        <v>Secondary</v>
      </c>
      <c r="I72" s="13" t="str">
        <f aca="false">IF(ISNUMBER(SEARCH("Informational",B72)),IF(ISNUMBER(SEARCH("Commercial",B72)),"Money","Support"),"Money")</f>
        <v>Support</v>
      </c>
    </row>
    <row r="73" customFormat="false" ht="15" hidden="false" customHeight="false" outlineLevel="0" collapsed="false">
      <c r="A73" s="13" t="s">
        <v>435</v>
      </c>
      <c r="B73" s="13" t="s">
        <v>391</v>
      </c>
      <c r="C73" s="16" t="n">
        <v>140</v>
      </c>
      <c r="D73" s="18" t="n">
        <v>19</v>
      </c>
      <c r="E73" s="13" t="s">
        <v>131</v>
      </c>
      <c r="F73" s="13" t="str">
        <f aca="false">INDEX('Page Plan'!$E$2:$E$33,MATCH(E73,'Page Plan'!$A$2:$A$33,0))</f>
        <v>/blog-fridge-not-cooling-causes</v>
      </c>
      <c r="G73" s="13" t="str">
        <f aca="false">INDEX('Page Plan'!$G$2:$G$33,MATCH(E73,'Page Plan'!$A$2:$A$33,0))</f>
        <v>Optimise existing</v>
      </c>
      <c r="H73" s="18" t="str">
        <f aca="false">IF(A73=INDEX('Page Plan'!$H$2:$H$33,MATCH(E73,'Page Plan'!$A$2:$A$33,0)),"Primary","Secondary")</f>
        <v>Secondary</v>
      </c>
      <c r="I73" s="13" t="str">
        <f aca="false">IF(ISNUMBER(SEARCH("Informational",B73)),IF(ISNUMBER(SEARCH("Commercial",B73)),"Money","Support"),"Money")</f>
        <v>Support</v>
      </c>
    </row>
    <row r="74" customFormat="false" ht="15" hidden="false" customHeight="false" outlineLevel="0" collapsed="false">
      <c r="A74" s="13" t="s">
        <v>436</v>
      </c>
      <c r="B74" s="13" t="s">
        <v>391</v>
      </c>
      <c r="C74" s="16" t="n">
        <v>140</v>
      </c>
      <c r="D74" s="18" t="n">
        <v>17</v>
      </c>
      <c r="E74" s="13" t="s">
        <v>131</v>
      </c>
      <c r="F74" s="13" t="str">
        <f aca="false">INDEX('Page Plan'!$E$2:$E$33,MATCH(E74,'Page Plan'!$A$2:$A$33,0))</f>
        <v>/blog-fridge-not-cooling-causes</v>
      </c>
      <c r="G74" s="13" t="str">
        <f aca="false">INDEX('Page Plan'!$G$2:$G$33,MATCH(E74,'Page Plan'!$A$2:$A$33,0))</f>
        <v>Optimise existing</v>
      </c>
      <c r="H74" s="18" t="str">
        <f aca="false">IF(A74=INDEX('Page Plan'!$H$2:$H$33,MATCH(E74,'Page Plan'!$A$2:$A$33,0)),"Primary","Secondary")</f>
        <v>Secondary</v>
      </c>
      <c r="I74" s="13" t="str">
        <f aca="false">IF(ISNUMBER(SEARCH("Informational",B74)),IF(ISNUMBER(SEARCH("Commercial",B74)),"Money","Support"),"Money")</f>
        <v>Support</v>
      </c>
    </row>
    <row r="75" customFormat="false" ht="15" hidden="false" customHeight="false" outlineLevel="0" collapsed="false">
      <c r="A75" s="13" t="s">
        <v>437</v>
      </c>
      <c r="B75" s="13" t="s">
        <v>391</v>
      </c>
      <c r="C75" s="16" t="n">
        <v>90</v>
      </c>
      <c r="D75" s="18" t="n">
        <v>15</v>
      </c>
      <c r="E75" s="13" t="s">
        <v>131</v>
      </c>
      <c r="F75" s="13" t="str">
        <f aca="false">INDEX('Page Plan'!$E$2:$E$33,MATCH(E75,'Page Plan'!$A$2:$A$33,0))</f>
        <v>/blog-fridge-not-cooling-causes</v>
      </c>
      <c r="G75" s="13" t="str">
        <f aca="false">INDEX('Page Plan'!$G$2:$G$33,MATCH(E75,'Page Plan'!$A$2:$A$33,0))</f>
        <v>Optimise existing</v>
      </c>
      <c r="H75" s="18" t="str">
        <f aca="false">IF(A75=INDEX('Page Plan'!$H$2:$H$33,MATCH(E75,'Page Plan'!$A$2:$A$33,0)),"Primary","Secondary")</f>
        <v>Secondary</v>
      </c>
      <c r="I75" s="13" t="str">
        <f aca="false">IF(ISNUMBER(SEARCH("Informational",B75)),IF(ISNUMBER(SEARCH("Commercial",B75)),"Money","Support"),"Money")</f>
        <v>Support</v>
      </c>
    </row>
    <row r="76" customFormat="false" ht="15" hidden="false" customHeight="false" outlineLevel="0" collapsed="false">
      <c r="A76" s="13" t="s">
        <v>438</v>
      </c>
      <c r="B76" s="13" t="s">
        <v>391</v>
      </c>
      <c r="C76" s="16" t="n">
        <v>90</v>
      </c>
      <c r="D76" s="18" t="n">
        <v>11</v>
      </c>
      <c r="E76" s="13" t="s">
        <v>131</v>
      </c>
      <c r="F76" s="13" t="str">
        <f aca="false">INDEX('Page Plan'!$E$2:$E$33,MATCH(E76,'Page Plan'!$A$2:$A$33,0))</f>
        <v>/blog-fridge-not-cooling-causes</v>
      </c>
      <c r="G76" s="13" t="str">
        <f aca="false">INDEX('Page Plan'!$G$2:$G$33,MATCH(E76,'Page Plan'!$A$2:$A$33,0))</f>
        <v>Optimise existing</v>
      </c>
      <c r="H76" s="18" t="str">
        <f aca="false">IF(A76=INDEX('Page Plan'!$H$2:$H$33,MATCH(E76,'Page Plan'!$A$2:$A$33,0)),"Primary","Secondary")</f>
        <v>Secondary</v>
      </c>
      <c r="I76" s="13" t="str">
        <f aca="false">IF(ISNUMBER(SEARCH("Informational",B76)),IF(ISNUMBER(SEARCH("Commercial",B76)),"Money","Support"),"Money")</f>
        <v>Support</v>
      </c>
    </row>
    <row r="77" customFormat="false" ht="15" hidden="false" customHeight="false" outlineLevel="0" collapsed="false">
      <c r="A77" s="13" t="s">
        <v>439</v>
      </c>
      <c r="B77" s="13" t="s">
        <v>440</v>
      </c>
      <c r="C77" s="16" t="n">
        <v>90</v>
      </c>
      <c r="D77" s="18" t="n">
        <v>8</v>
      </c>
      <c r="E77" s="13" t="s">
        <v>131</v>
      </c>
      <c r="F77" s="13" t="str">
        <f aca="false">INDEX('Page Plan'!$E$2:$E$33,MATCH(E77,'Page Plan'!$A$2:$A$33,0))</f>
        <v>/blog-fridge-not-cooling-causes</v>
      </c>
      <c r="G77" s="13" t="str">
        <f aca="false">INDEX('Page Plan'!$G$2:$G$33,MATCH(E77,'Page Plan'!$A$2:$A$33,0))</f>
        <v>Optimise existing</v>
      </c>
      <c r="H77" s="18" t="str">
        <f aca="false">IF(A77=INDEX('Page Plan'!$H$2:$H$33,MATCH(E77,'Page Plan'!$A$2:$A$33,0)),"Primary","Secondary")</f>
        <v>Secondary</v>
      </c>
      <c r="I77" s="13" t="str">
        <f aca="false">IF(ISNUMBER(SEARCH("Informational",B77)),IF(ISNUMBER(SEARCH("Commercial",B77)),"Money","Support"),"Money")</f>
        <v>Money</v>
      </c>
    </row>
    <row r="78" customFormat="false" ht="15" hidden="false" customHeight="false" outlineLevel="0" collapsed="false">
      <c r="A78" s="13" t="s">
        <v>441</v>
      </c>
      <c r="B78" s="13" t="s">
        <v>391</v>
      </c>
      <c r="C78" s="16" t="n">
        <v>50</v>
      </c>
      <c r="D78" s="18" t="n">
        <v>17</v>
      </c>
      <c r="E78" s="13" t="s">
        <v>131</v>
      </c>
      <c r="F78" s="13" t="str">
        <f aca="false">INDEX('Page Plan'!$E$2:$E$33,MATCH(E78,'Page Plan'!$A$2:$A$33,0))</f>
        <v>/blog-fridge-not-cooling-causes</v>
      </c>
      <c r="G78" s="13" t="str">
        <f aca="false">INDEX('Page Plan'!$G$2:$G$33,MATCH(E78,'Page Plan'!$A$2:$A$33,0))</f>
        <v>Optimise existing</v>
      </c>
      <c r="H78" s="18" t="str">
        <f aca="false">IF(A78=INDEX('Page Plan'!$H$2:$H$33,MATCH(E78,'Page Plan'!$A$2:$A$33,0)),"Primary","Secondary")</f>
        <v>Secondary</v>
      </c>
      <c r="I78" s="13" t="str">
        <f aca="false">IF(ISNUMBER(SEARCH("Informational",B78)),IF(ISNUMBER(SEARCH("Commercial",B78)),"Money","Support"),"Money")</f>
        <v>Support</v>
      </c>
    </row>
    <row r="79" customFormat="false" ht="15" hidden="false" customHeight="false" outlineLevel="0" collapsed="false">
      <c r="A79" s="13" t="s">
        <v>145</v>
      </c>
      <c r="B79" s="13" t="s">
        <v>391</v>
      </c>
      <c r="C79" s="16" t="n">
        <v>110</v>
      </c>
      <c r="D79" s="18" t="n">
        <v>7</v>
      </c>
      <c r="E79" s="13" t="s">
        <v>140</v>
      </c>
      <c r="F79" s="13" t="str">
        <f aca="false">INDEX('Page Plan'!$E$2:$E$33,MATCH(E79,'Page Plan'!$A$2:$A$33,0))</f>
        <v>/blog-summer-fridge-maintenance-tips</v>
      </c>
      <c r="G79" s="13" t="str">
        <f aca="false">INDEX('Page Plan'!$G$2:$G$33,MATCH(E79,'Page Plan'!$A$2:$A$33,0))</f>
        <v>Optimise existing</v>
      </c>
      <c r="H79" s="18" t="str">
        <f aca="false">IF(A79=INDEX('Page Plan'!$H$2:$H$33,MATCH(E79,'Page Plan'!$A$2:$A$33,0)),"Primary","Secondary")</f>
        <v>Primary</v>
      </c>
      <c r="I79" s="13" t="str">
        <f aca="false">IF(ISNUMBER(SEARCH("Informational",B79)),IF(ISNUMBER(SEARCH("Commercial",B79)),"Money","Support"),"Money")</f>
        <v>Support</v>
      </c>
    </row>
    <row r="80" customFormat="false" ht="15" hidden="false" customHeight="false" outlineLevel="0" collapsed="false">
      <c r="A80" s="13" t="s">
        <v>155</v>
      </c>
      <c r="B80" s="13" t="s">
        <v>371</v>
      </c>
      <c r="C80" s="16" t="n">
        <v>480</v>
      </c>
      <c r="D80" s="18" t="n">
        <v>7</v>
      </c>
      <c r="E80" s="13" t="s">
        <v>151</v>
      </c>
      <c r="F80" s="13" t="str">
        <f aca="false">INDEX('Page Plan'!$E$2:$E$33,MATCH(E80,'Page Plan'!$A$2:$A$33,0))</f>
        <v>/services/freezer-repair</v>
      </c>
      <c r="G80" s="13" t="str">
        <f aca="false">INDEX('Page Plan'!$G$2:$G$33,MATCH(E80,'Page Plan'!$A$2:$A$33,0))</f>
        <v>Create new</v>
      </c>
      <c r="H80" s="18" t="str">
        <f aca="false">IF(A80=INDEX('Page Plan'!$H$2:$H$33,MATCH(E80,'Page Plan'!$A$2:$A$33,0)),"Primary","Secondary")</f>
        <v>Primary</v>
      </c>
      <c r="I80" s="13" t="str">
        <f aca="false">IF(ISNUMBER(SEARCH("Informational",B80)),IF(ISNUMBER(SEARCH("Commercial",B80)),"Money","Support"),"Money")</f>
        <v>Money</v>
      </c>
    </row>
    <row r="81" customFormat="false" ht="15" hidden="false" customHeight="false" outlineLevel="0" collapsed="false">
      <c r="A81" s="13" t="s">
        <v>442</v>
      </c>
      <c r="B81" s="13" t="s">
        <v>391</v>
      </c>
      <c r="C81" s="16" t="n">
        <v>320</v>
      </c>
      <c r="D81" s="18" t="n">
        <v>18</v>
      </c>
      <c r="E81" s="13" t="s">
        <v>151</v>
      </c>
      <c r="F81" s="13" t="str">
        <f aca="false">INDEX('Page Plan'!$E$2:$E$33,MATCH(E81,'Page Plan'!$A$2:$A$33,0))</f>
        <v>/services/freezer-repair</v>
      </c>
      <c r="G81" s="13" t="str">
        <f aca="false">INDEX('Page Plan'!$G$2:$G$33,MATCH(E81,'Page Plan'!$A$2:$A$33,0))</f>
        <v>Create new</v>
      </c>
      <c r="H81" s="18" t="str">
        <f aca="false">IF(A81=INDEX('Page Plan'!$H$2:$H$33,MATCH(E81,'Page Plan'!$A$2:$A$33,0)),"Primary","Secondary")</f>
        <v>Secondary</v>
      </c>
      <c r="I81" s="13" t="str">
        <f aca="false">IF(ISNUMBER(SEARCH("Informational",B81)),IF(ISNUMBER(SEARCH("Commercial",B81)),"Money","Support"),"Money")</f>
        <v>Support</v>
      </c>
    </row>
    <row r="82" customFormat="false" ht="15" hidden="false" customHeight="false" outlineLevel="0" collapsed="false">
      <c r="A82" s="13" t="s">
        <v>443</v>
      </c>
      <c r="B82" s="13" t="s">
        <v>371</v>
      </c>
      <c r="C82" s="16" t="n">
        <v>170</v>
      </c>
      <c r="D82" s="18" t="n">
        <v>17</v>
      </c>
      <c r="E82" s="13" t="s">
        <v>151</v>
      </c>
      <c r="F82" s="13" t="str">
        <f aca="false">INDEX('Page Plan'!$E$2:$E$33,MATCH(E82,'Page Plan'!$A$2:$A$33,0))</f>
        <v>/services/freezer-repair</v>
      </c>
      <c r="G82" s="13" t="str">
        <f aca="false">INDEX('Page Plan'!$G$2:$G$33,MATCH(E82,'Page Plan'!$A$2:$A$33,0))</f>
        <v>Create new</v>
      </c>
      <c r="H82" s="18" t="str">
        <f aca="false">IF(A82=INDEX('Page Plan'!$H$2:$H$33,MATCH(E82,'Page Plan'!$A$2:$A$33,0)),"Primary","Secondary")</f>
        <v>Secondary</v>
      </c>
      <c r="I82" s="13" t="str">
        <f aca="false">IF(ISNUMBER(SEARCH("Informational",B82)),IF(ISNUMBER(SEARCH("Commercial",B82)),"Money","Support"),"Money")</f>
        <v>Money</v>
      </c>
    </row>
    <row r="83" customFormat="false" ht="15" hidden="false" customHeight="false" outlineLevel="0" collapsed="false">
      <c r="A83" s="13" t="s">
        <v>444</v>
      </c>
      <c r="B83" s="13" t="s">
        <v>371</v>
      </c>
      <c r="C83" s="16" t="n">
        <v>170</v>
      </c>
      <c r="D83" s="18" t="n">
        <v>9</v>
      </c>
      <c r="E83" s="13" t="s">
        <v>151</v>
      </c>
      <c r="F83" s="13" t="str">
        <f aca="false">INDEX('Page Plan'!$E$2:$E$33,MATCH(E83,'Page Plan'!$A$2:$A$33,0))</f>
        <v>/services/freezer-repair</v>
      </c>
      <c r="G83" s="13" t="str">
        <f aca="false">INDEX('Page Plan'!$G$2:$G$33,MATCH(E83,'Page Plan'!$A$2:$A$33,0))</f>
        <v>Create new</v>
      </c>
      <c r="H83" s="18" t="str">
        <f aca="false">IF(A83=INDEX('Page Plan'!$H$2:$H$33,MATCH(E83,'Page Plan'!$A$2:$A$33,0)),"Primary","Secondary")</f>
        <v>Secondary</v>
      </c>
      <c r="I83" s="13" t="str">
        <f aca="false">IF(ISNUMBER(SEARCH("Informational",B83)),IF(ISNUMBER(SEARCH("Commercial",B83)),"Money","Support"),"Money")</f>
        <v>Money</v>
      </c>
    </row>
    <row r="84" customFormat="false" ht="15" hidden="false" customHeight="false" outlineLevel="0" collapsed="false">
      <c r="A84" s="13" t="s">
        <v>445</v>
      </c>
      <c r="B84" s="13" t="s">
        <v>371</v>
      </c>
      <c r="C84" s="16" t="n">
        <v>140</v>
      </c>
      <c r="D84" s="18" t="n">
        <v>17</v>
      </c>
      <c r="E84" s="13" t="s">
        <v>151</v>
      </c>
      <c r="F84" s="13" t="str">
        <f aca="false">INDEX('Page Plan'!$E$2:$E$33,MATCH(E84,'Page Plan'!$A$2:$A$33,0))</f>
        <v>/services/freezer-repair</v>
      </c>
      <c r="G84" s="13" t="str">
        <f aca="false">INDEX('Page Plan'!$G$2:$G$33,MATCH(E84,'Page Plan'!$A$2:$A$33,0))</f>
        <v>Create new</v>
      </c>
      <c r="H84" s="18" t="str">
        <f aca="false">IF(A84=INDEX('Page Plan'!$H$2:$H$33,MATCH(E84,'Page Plan'!$A$2:$A$33,0)),"Primary","Secondary")</f>
        <v>Secondary</v>
      </c>
      <c r="I84" s="13" t="str">
        <f aca="false">IF(ISNUMBER(SEARCH("Informational",B84)),IF(ISNUMBER(SEARCH("Commercial",B84)),"Money","Support"),"Money")</f>
        <v>Money</v>
      </c>
    </row>
    <row r="85" customFormat="false" ht="15" hidden="false" customHeight="false" outlineLevel="0" collapsed="false">
      <c r="A85" s="13" t="s">
        <v>446</v>
      </c>
      <c r="B85" s="13" t="s">
        <v>371</v>
      </c>
      <c r="C85" s="16" t="n">
        <v>140</v>
      </c>
      <c r="D85" s="18" t="n">
        <v>8</v>
      </c>
      <c r="E85" s="13" t="s">
        <v>151</v>
      </c>
      <c r="F85" s="13" t="str">
        <f aca="false">INDEX('Page Plan'!$E$2:$E$33,MATCH(E85,'Page Plan'!$A$2:$A$33,0))</f>
        <v>/services/freezer-repair</v>
      </c>
      <c r="G85" s="13" t="str">
        <f aca="false">INDEX('Page Plan'!$G$2:$G$33,MATCH(E85,'Page Plan'!$A$2:$A$33,0))</f>
        <v>Create new</v>
      </c>
      <c r="H85" s="18" t="str">
        <f aca="false">IF(A85=INDEX('Page Plan'!$H$2:$H$33,MATCH(E85,'Page Plan'!$A$2:$A$33,0)),"Primary","Secondary")</f>
        <v>Secondary</v>
      </c>
      <c r="I85" s="13" t="str">
        <f aca="false">IF(ISNUMBER(SEARCH("Informational",B85)),IF(ISNUMBER(SEARCH("Commercial",B85)),"Money","Support"),"Money")</f>
        <v>Money</v>
      </c>
    </row>
    <row r="86" customFormat="false" ht="15" hidden="false" customHeight="false" outlineLevel="0" collapsed="false">
      <c r="A86" s="13" t="s">
        <v>447</v>
      </c>
      <c r="B86" s="13" t="s">
        <v>391</v>
      </c>
      <c r="C86" s="16" t="n">
        <v>110</v>
      </c>
      <c r="D86" s="18" t="n">
        <v>12</v>
      </c>
      <c r="E86" s="13" t="s">
        <v>151</v>
      </c>
      <c r="F86" s="13" t="str">
        <f aca="false">INDEX('Page Plan'!$E$2:$E$33,MATCH(E86,'Page Plan'!$A$2:$A$33,0))</f>
        <v>/services/freezer-repair</v>
      </c>
      <c r="G86" s="13" t="str">
        <f aca="false">INDEX('Page Plan'!$G$2:$G$33,MATCH(E86,'Page Plan'!$A$2:$A$33,0))</f>
        <v>Create new</v>
      </c>
      <c r="H86" s="18" t="str">
        <f aca="false">IF(A86=INDEX('Page Plan'!$H$2:$H$33,MATCH(E86,'Page Plan'!$A$2:$A$33,0)),"Primary","Secondary")</f>
        <v>Secondary</v>
      </c>
      <c r="I86" s="13" t="str">
        <f aca="false">IF(ISNUMBER(SEARCH("Informational",B86)),IF(ISNUMBER(SEARCH("Commercial",B86)),"Money","Support"),"Money")</f>
        <v>Support</v>
      </c>
    </row>
    <row r="87" customFormat="false" ht="15" hidden="false" customHeight="false" outlineLevel="0" collapsed="false">
      <c r="A87" s="13" t="s">
        <v>448</v>
      </c>
      <c r="B87" s="13" t="s">
        <v>369</v>
      </c>
      <c r="C87" s="16" t="n">
        <v>110</v>
      </c>
      <c r="D87" s="18" t="n">
        <v>19</v>
      </c>
      <c r="E87" s="13" t="s">
        <v>151</v>
      </c>
      <c r="F87" s="13" t="str">
        <f aca="false">INDEX('Page Plan'!$E$2:$E$33,MATCH(E87,'Page Plan'!$A$2:$A$33,0))</f>
        <v>/services/freezer-repair</v>
      </c>
      <c r="G87" s="13" t="str">
        <f aca="false">INDEX('Page Plan'!$G$2:$G$33,MATCH(E87,'Page Plan'!$A$2:$A$33,0))</f>
        <v>Create new</v>
      </c>
      <c r="H87" s="18" t="str">
        <f aca="false">IF(A87=INDEX('Page Plan'!$H$2:$H$33,MATCH(E87,'Page Plan'!$A$2:$A$33,0)),"Primary","Secondary")</f>
        <v>Secondary</v>
      </c>
      <c r="I87" s="13" t="str">
        <f aca="false">IF(ISNUMBER(SEARCH("Informational",B87)),IF(ISNUMBER(SEARCH("Commercial",B87)),"Money","Support"),"Money")</f>
        <v>Money</v>
      </c>
    </row>
    <row r="88" customFormat="false" ht="15" hidden="false" customHeight="false" outlineLevel="0" collapsed="false">
      <c r="A88" s="13" t="s">
        <v>449</v>
      </c>
      <c r="B88" s="13" t="s">
        <v>371</v>
      </c>
      <c r="C88" s="16" t="n">
        <v>50</v>
      </c>
      <c r="D88" s="18" t="n">
        <v>7</v>
      </c>
      <c r="E88" s="13" t="s">
        <v>151</v>
      </c>
      <c r="F88" s="13" t="str">
        <f aca="false">INDEX('Page Plan'!$E$2:$E$33,MATCH(E88,'Page Plan'!$A$2:$A$33,0))</f>
        <v>/services/freezer-repair</v>
      </c>
      <c r="G88" s="13" t="str">
        <f aca="false">INDEX('Page Plan'!$G$2:$G$33,MATCH(E88,'Page Plan'!$A$2:$A$33,0))</f>
        <v>Create new</v>
      </c>
      <c r="H88" s="18" t="str">
        <f aca="false">IF(A88=INDEX('Page Plan'!$H$2:$H$33,MATCH(E88,'Page Plan'!$A$2:$A$33,0)),"Primary","Secondary")</f>
        <v>Secondary</v>
      </c>
      <c r="I88" s="13" t="str">
        <f aca="false">IF(ISNUMBER(SEARCH("Informational",B88)),IF(ISNUMBER(SEARCH("Commercial",B88)),"Money","Support"),"Money")</f>
        <v>Money</v>
      </c>
    </row>
    <row r="89" customFormat="false" ht="15" hidden="false" customHeight="false" outlineLevel="0" collapsed="false">
      <c r="A89" s="13" t="s">
        <v>450</v>
      </c>
      <c r="B89" s="13" t="s">
        <v>369</v>
      </c>
      <c r="C89" s="16" t="n">
        <v>50</v>
      </c>
      <c r="D89" s="18" t="n">
        <v>17</v>
      </c>
      <c r="E89" s="13" t="s">
        <v>151</v>
      </c>
      <c r="F89" s="13" t="str">
        <f aca="false">INDEX('Page Plan'!$E$2:$E$33,MATCH(E89,'Page Plan'!$A$2:$A$33,0))</f>
        <v>/services/freezer-repair</v>
      </c>
      <c r="G89" s="13" t="str">
        <f aca="false">INDEX('Page Plan'!$G$2:$G$33,MATCH(E89,'Page Plan'!$A$2:$A$33,0))</f>
        <v>Create new</v>
      </c>
      <c r="H89" s="18" t="str">
        <f aca="false">IF(A89=INDEX('Page Plan'!$H$2:$H$33,MATCH(E89,'Page Plan'!$A$2:$A$33,0)),"Primary","Secondary")</f>
        <v>Secondary</v>
      </c>
      <c r="I89" s="13" t="str">
        <f aca="false">IF(ISNUMBER(SEARCH("Informational",B89)),IF(ISNUMBER(SEARCH("Commercial",B89)),"Money","Support"),"Money")</f>
        <v>Money</v>
      </c>
    </row>
    <row r="90" customFormat="false" ht="15" hidden="false" customHeight="false" outlineLevel="0" collapsed="false">
      <c r="A90" s="13" t="s">
        <v>165</v>
      </c>
      <c r="B90" s="13" t="s">
        <v>371</v>
      </c>
      <c r="C90" s="16" t="n">
        <v>720</v>
      </c>
      <c r="D90" s="18" t="n">
        <v>14</v>
      </c>
      <c r="E90" s="13" t="s">
        <v>162</v>
      </c>
      <c r="F90" s="13" t="str">
        <f aca="false">INDEX('Page Plan'!$E$2:$E$33,MATCH(E90,'Page Plan'!$A$2:$A$33,0))</f>
        <v>/commercial/commercial-refrigeration-repair</v>
      </c>
      <c r="G90" s="13" t="str">
        <f aca="false">INDEX('Page Plan'!$G$2:$G$33,MATCH(E90,'Page Plan'!$A$2:$A$33,0))</f>
        <v>Create new</v>
      </c>
      <c r="H90" s="18" t="str">
        <f aca="false">IF(A90=INDEX('Page Plan'!$H$2:$H$33,MATCH(E90,'Page Plan'!$A$2:$A$33,0)),"Primary","Secondary")</f>
        <v>Primary</v>
      </c>
      <c r="I90" s="13" t="str">
        <f aca="false">IF(ISNUMBER(SEARCH("Informational",B90)),IF(ISNUMBER(SEARCH("Commercial",B90)),"Money","Support"),"Money")</f>
        <v>Money</v>
      </c>
    </row>
    <row r="91" customFormat="false" ht="15" hidden="false" customHeight="false" outlineLevel="0" collapsed="false">
      <c r="A91" s="13" t="s">
        <v>451</v>
      </c>
      <c r="B91" s="13" t="s">
        <v>371</v>
      </c>
      <c r="C91" s="16" t="n">
        <v>590</v>
      </c>
      <c r="D91" s="18" t="n">
        <v>18</v>
      </c>
      <c r="E91" s="13" t="s">
        <v>162</v>
      </c>
      <c r="F91" s="13" t="str">
        <f aca="false">INDEX('Page Plan'!$E$2:$E$33,MATCH(E91,'Page Plan'!$A$2:$A$33,0))</f>
        <v>/commercial/commercial-refrigeration-repair</v>
      </c>
      <c r="G91" s="13" t="str">
        <f aca="false">INDEX('Page Plan'!$G$2:$G$33,MATCH(E91,'Page Plan'!$A$2:$A$33,0))</f>
        <v>Create new</v>
      </c>
      <c r="H91" s="18" t="str">
        <f aca="false">IF(A91=INDEX('Page Plan'!$H$2:$H$33,MATCH(E91,'Page Plan'!$A$2:$A$33,0)),"Primary","Secondary")</f>
        <v>Secondary</v>
      </c>
      <c r="I91" s="13" t="str">
        <f aca="false">IF(ISNUMBER(SEARCH("Informational",B91)),IF(ISNUMBER(SEARCH("Commercial",B91)),"Money","Support"),"Money")</f>
        <v>Money</v>
      </c>
    </row>
    <row r="92" customFormat="false" ht="15" hidden="false" customHeight="false" outlineLevel="0" collapsed="false">
      <c r="A92" s="13" t="s">
        <v>452</v>
      </c>
      <c r="B92" s="13" t="s">
        <v>371</v>
      </c>
      <c r="C92" s="16" t="n">
        <v>480</v>
      </c>
      <c r="D92" s="18" t="n">
        <v>17</v>
      </c>
      <c r="E92" s="13" t="s">
        <v>162</v>
      </c>
      <c r="F92" s="13" t="str">
        <f aca="false">INDEX('Page Plan'!$E$2:$E$33,MATCH(E92,'Page Plan'!$A$2:$A$33,0))</f>
        <v>/commercial/commercial-refrigeration-repair</v>
      </c>
      <c r="G92" s="13" t="str">
        <f aca="false">INDEX('Page Plan'!$G$2:$G$33,MATCH(E92,'Page Plan'!$A$2:$A$33,0))</f>
        <v>Create new</v>
      </c>
      <c r="H92" s="18" t="str">
        <f aca="false">IF(A92=INDEX('Page Plan'!$H$2:$H$33,MATCH(E92,'Page Plan'!$A$2:$A$33,0)),"Primary","Secondary")</f>
        <v>Secondary</v>
      </c>
      <c r="I92" s="13" t="str">
        <f aca="false">IF(ISNUMBER(SEARCH("Informational",B92)),IF(ISNUMBER(SEARCH("Commercial",B92)),"Money","Support"),"Money")</f>
        <v>Money</v>
      </c>
    </row>
    <row r="93" customFormat="false" ht="15" hidden="false" customHeight="false" outlineLevel="0" collapsed="false">
      <c r="A93" s="13" t="s">
        <v>453</v>
      </c>
      <c r="B93" s="13" t="s">
        <v>371</v>
      </c>
      <c r="C93" s="16" t="n">
        <v>390</v>
      </c>
      <c r="D93" s="18" t="n">
        <v>14</v>
      </c>
      <c r="E93" s="13" t="s">
        <v>162</v>
      </c>
      <c r="F93" s="13" t="str">
        <f aca="false">INDEX('Page Plan'!$E$2:$E$33,MATCH(E93,'Page Plan'!$A$2:$A$33,0))</f>
        <v>/commercial/commercial-refrigeration-repair</v>
      </c>
      <c r="G93" s="13" t="str">
        <f aca="false">INDEX('Page Plan'!$G$2:$G$33,MATCH(E93,'Page Plan'!$A$2:$A$33,0))</f>
        <v>Create new</v>
      </c>
      <c r="H93" s="18" t="str">
        <f aca="false">IF(A93=INDEX('Page Plan'!$H$2:$H$33,MATCH(E93,'Page Plan'!$A$2:$A$33,0)),"Primary","Secondary")</f>
        <v>Secondary</v>
      </c>
      <c r="I93" s="13" t="str">
        <f aca="false">IF(ISNUMBER(SEARCH("Informational",B93)),IF(ISNUMBER(SEARCH("Commercial",B93)),"Money","Support"),"Money")</f>
        <v>Money</v>
      </c>
    </row>
    <row r="94" customFormat="false" ht="15" hidden="false" customHeight="false" outlineLevel="0" collapsed="false">
      <c r="A94" s="13" t="s">
        <v>454</v>
      </c>
      <c r="B94" s="13" t="s">
        <v>391</v>
      </c>
      <c r="C94" s="16" t="n">
        <v>390</v>
      </c>
      <c r="D94" s="18" t="n">
        <v>19</v>
      </c>
      <c r="E94" s="13" t="s">
        <v>162</v>
      </c>
      <c r="F94" s="13" t="str">
        <f aca="false">INDEX('Page Plan'!$E$2:$E$33,MATCH(E94,'Page Plan'!$A$2:$A$33,0))</f>
        <v>/commercial/commercial-refrigeration-repair</v>
      </c>
      <c r="G94" s="13" t="str">
        <f aca="false">INDEX('Page Plan'!$G$2:$G$33,MATCH(E94,'Page Plan'!$A$2:$A$33,0))</f>
        <v>Create new</v>
      </c>
      <c r="H94" s="18" t="str">
        <f aca="false">IF(A94=INDEX('Page Plan'!$H$2:$H$33,MATCH(E94,'Page Plan'!$A$2:$A$33,0)),"Primary","Secondary")</f>
        <v>Secondary</v>
      </c>
      <c r="I94" s="13" t="str">
        <f aca="false">IF(ISNUMBER(SEARCH("Informational",B94)),IF(ISNUMBER(SEARCH("Commercial",B94)),"Money","Support"),"Money")</f>
        <v>Support</v>
      </c>
    </row>
    <row r="95" customFormat="false" ht="15" hidden="false" customHeight="false" outlineLevel="0" collapsed="false">
      <c r="A95" s="13" t="s">
        <v>455</v>
      </c>
      <c r="B95" s="13" t="s">
        <v>371</v>
      </c>
      <c r="C95" s="16" t="n">
        <v>390</v>
      </c>
      <c r="D95" s="18" t="n">
        <v>18</v>
      </c>
      <c r="E95" s="13" t="s">
        <v>162</v>
      </c>
      <c r="F95" s="13" t="str">
        <f aca="false">INDEX('Page Plan'!$E$2:$E$33,MATCH(E95,'Page Plan'!$A$2:$A$33,0))</f>
        <v>/commercial/commercial-refrigeration-repair</v>
      </c>
      <c r="G95" s="13" t="str">
        <f aca="false">INDEX('Page Plan'!$G$2:$G$33,MATCH(E95,'Page Plan'!$A$2:$A$33,0))</f>
        <v>Create new</v>
      </c>
      <c r="H95" s="18" t="str">
        <f aca="false">IF(A95=INDEX('Page Plan'!$H$2:$H$33,MATCH(E95,'Page Plan'!$A$2:$A$33,0)),"Primary","Secondary")</f>
        <v>Secondary</v>
      </c>
      <c r="I95" s="13" t="str">
        <f aca="false">IF(ISNUMBER(SEARCH("Informational",B95)),IF(ISNUMBER(SEARCH("Commercial",B95)),"Money","Support"),"Money")</f>
        <v>Money</v>
      </c>
    </row>
    <row r="96" customFormat="false" ht="15" hidden="false" customHeight="false" outlineLevel="0" collapsed="false">
      <c r="A96" s="13" t="s">
        <v>456</v>
      </c>
      <c r="B96" s="13" t="s">
        <v>371</v>
      </c>
      <c r="C96" s="16" t="n">
        <v>320</v>
      </c>
      <c r="D96" s="18" t="n">
        <v>19</v>
      </c>
      <c r="E96" s="13" t="s">
        <v>162</v>
      </c>
      <c r="F96" s="13" t="str">
        <f aca="false">INDEX('Page Plan'!$E$2:$E$33,MATCH(E96,'Page Plan'!$A$2:$A$33,0))</f>
        <v>/commercial/commercial-refrigeration-repair</v>
      </c>
      <c r="G96" s="13" t="str">
        <f aca="false">INDEX('Page Plan'!$G$2:$G$33,MATCH(E96,'Page Plan'!$A$2:$A$33,0))</f>
        <v>Create new</v>
      </c>
      <c r="H96" s="18" t="str">
        <f aca="false">IF(A96=INDEX('Page Plan'!$H$2:$H$33,MATCH(E96,'Page Plan'!$A$2:$A$33,0)),"Primary","Secondary")</f>
        <v>Secondary</v>
      </c>
      <c r="I96" s="13" t="str">
        <f aca="false">IF(ISNUMBER(SEARCH("Informational",B96)),IF(ISNUMBER(SEARCH("Commercial",B96)),"Money","Support"),"Money")</f>
        <v>Money</v>
      </c>
    </row>
    <row r="97" customFormat="false" ht="15" hidden="false" customHeight="false" outlineLevel="0" collapsed="false">
      <c r="A97" s="13" t="s">
        <v>457</v>
      </c>
      <c r="B97" s="13" t="s">
        <v>371</v>
      </c>
      <c r="C97" s="16" t="n">
        <v>210</v>
      </c>
      <c r="D97" s="18" t="n">
        <v>9</v>
      </c>
      <c r="E97" s="13" t="s">
        <v>162</v>
      </c>
      <c r="F97" s="13" t="str">
        <f aca="false">INDEX('Page Plan'!$E$2:$E$33,MATCH(E97,'Page Plan'!$A$2:$A$33,0))</f>
        <v>/commercial/commercial-refrigeration-repair</v>
      </c>
      <c r="G97" s="13" t="str">
        <f aca="false">INDEX('Page Plan'!$G$2:$G$33,MATCH(E97,'Page Plan'!$A$2:$A$33,0))</f>
        <v>Create new</v>
      </c>
      <c r="H97" s="18" t="str">
        <f aca="false">IF(A97=INDEX('Page Plan'!$H$2:$H$33,MATCH(E97,'Page Plan'!$A$2:$A$33,0)),"Primary","Secondary")</f>
        <v>Secondary</v>
      </c>
      <c r="I97" s="13" t="str">
        <f aca="false">IF(ISNUMBER(SEARCH("Informational",B97)),IF(ISNUMBER(SEARCH("Commercial",B97)),"Money","Support"),"Money")</f>
        <v>Money</v>
      </c>
    </row>
    <row r="98" customFormat="false" ht="15" hidden="false" customHeight="false" outlineLevel="0" collapsed="false">
      <c r="A98" s="13" t="s">
        <v>458</v>
      </c>
      <c r="B98" s="13" t="s">
        <v>371</v>
      </c>
      <c r="C98" s="16" t="n">
        <v>170</v>
      </c>
      <c r="D98" s="18" t="n">
        <v>12</v>
      </c>
      <c r="E98" s="13" t="s">
        <v>162</v>
      </c>
      <c r="F98" s="13" t="str">
        <f aca="false">INDEX('Page Plan'!$E$2:$E$33,MATCH(E98,'Page Plan'!$A$2:$A$33,0))</f>
        <v>/commercial/commercial-refrigeration-repair</v>
      </c>
      <c r="G98" s="13" t="str">
        <f aca="false">INDEX('Page Plan'!$G$2:$G$33,MATCH(E98,'Page Plan'!$A$2:$A$33,0))</f>
        <v>Create new</v>
      </c>
      <c r="H98" s="18" t="str">
        <f aca="false">IF(A98=INDEX('Page Plan'!$H$2:$H$33,MATCH(E98,'Page Plan'!$A$2:$A$33,0)),"Primary","Secondary")</f>
        <v>Secondary</v>
      </c>
      <c r="I98" s="13" t="str">
        <f aca="false">IF(ISNUMBER(SEARCH("Informational",B98)),IF(ISNUMBER(SEARCH("Commercial",B98)),"Money","Support"),"Money")</f>
        <v>Money</v>
      </c>
    </row>
    <row r="99" customFormat="false" ht="15" hidden="false" customHeight="false" outlineLevel="0" collapsed="false">
      <c r="A99" s="13" t="s">
        <v>459</v>
      </c>
      <c r="B99" s="13" t="s">
        <v>371</v>
      </c>
      <c r="C99" s="16" t="n">
        <v>170</v>
      </c>
      <c r="D99" s="18" t="n">
        <v>16</v>
      </c>
      <c r="E99" s="13" t="s">
        <v>162</v>
      </c>
      <c r="F99" s="13" t="str">
        <f aca="false">INDEX('Page Plan'!$E$2:$E$33,MATCH(E99,'Page Plan'!$A$2:$A$33,0))</f>
        <v>/commercial/commercial-refrigeration-repair</v>
      </c>
      <c r="G99" s="13" t="str">
        <f aca="false">INDEX('Page Plan'!$G$2:$G$33,MATCH(E99,'Page Plan'!$A$2:$A$33,0))</f>
        <v>Create new</v>
      </c>
      <c r="H99" s="18" t="str">
        <f aca="false">IF(A99=INDEX('Page Plan'!$H$2:$H$33,MATCH(E99,'Page Plan'!$A$2:$A$33,0)),"Primary","Secondary")</f>
        <v>Secondary</v>
      </c>
      <c r="I99" s="13" t="str">
        <f aca="false">IF(ISNUMBER(SEARCH("Informational",B99)),IF(ISNUMBER(SEARCH("Commercial",B99)),"Money","Support"),"Money")</f>
        <v>Money</v>
      </c>
    </row>
    <row r="100" customFormat="false" ht="15" hidden="false" customHeight="false" outlineLevel="0" collapsed="false">
      <c r="A100" s="13" t="s">
        <v>460</v>
      </c>
      <c r="B100" s="13" t="s">
        <v>369</v>
      </c>
      <c r="C100" s="16" t="n">
        <v>140</v>
      </c>
      <c r="D100" s="18" t="n">
        <v>17</v>
      </c>
      <c r="E100" s="13" t="s">
        <v>162</v>
      </c>
      <c r="F100" s="13" t="str">
        <f aca="false">INDEX('Page Plan'!$E$2:$E$33,MATCH(E100,'Page Plan'!$A$2:$A$33,0))</f>
        <v>/commercial/commercial-refrigeration-repair</v>
      </c>
      <c r="G100" s="13" t="str">
        <f aca="false">INDEX('Page Plan'!$G$2:$G$33,MATCH(E100,'Page Plan'!$A$2:$A$33,0))</f>
        <v>Create new</v>
      </c>
      <c r="H100" s="18" t="str">
        <f aca="false">IF(A100=INDEX('Page Plan'!$H$2:$H$33,MATCH(E100,'Page Plan'!$A$2:$A$33,0)),"Primary","Secondary")</f>
        <v>Secondary</v>
      </c>
      <c r="I100" s="13" t="str">
        <f aca="false">IF(ISNUMBER(SEARCH("Informational",B100)),IF(ISNUMBER(SEARCH("Commercial",B100)),"Money","Support"),"Money")</f>
        <v>Money</v>
      </c>
    </row>
    <row r="101" customFormat="false" ht="15" hidden="false" customHeight="false" outlineLevel="0" collapsed="false">
      <c r="A101" s="13" t="s">
        <v>461</v>
      </c>
      <c r="B101" s="13" t="s">
        <v>369</v>
      </c>
      <c r="C101" s="16" t="n">
        <v>140</v>
      </c>
      <c r="D101" s="18" t="n">
        <v>16</v>
      </c>
      <c r="E101" s="13" t="s">
        <v>162</v>
      </c>
      <c r="F101" s="13" t="str">
        <f aca="false">INDEX('Page Plan'!$E$2:$E$33,MATCH(E101,'Page Plan'!$A$2:$A$33,0))</f>
        <v>/commercial/commercial-refrigeration-repair</v>
      </c>
      <c r="G101" s="13" t="str">
        <f aca="false">INDEX('Page Plan'!$G$2:$G$33,MATCH(E101,'Page Plan'!$A$2:$A$33,0))</f>
        <v>Create new</v>
      </c>
      <c r="H101" s="18" t="str">
        <f aca="false">IF(A101=INDEX('Page Plan'!$H$2:$H$33,MATCH(E101,'Page Plan'!$A$2:$A$33,0)),"Primary","Secondary")</f>
        <v>Secondary</v>
      </c>
      <c r="I101" s="13" t="str">
        <f aca="false">IF(ISNUMBER(SEARCH("Informational",B101)),IF(ISNUMBER(SEARCH("Commercial",B101)),"Money","Support"),"Money")</f>
        <v>Money</v>
      </c>
    </row>
    <row r="102" customFormat="false" ht="15" hidden="false" customHeight="false" outlineLevel="0" collapsed="false">
      <c r="A102" s="13" t="s">
        <v>462</v>
      </c>
      <c r="B102" s="13" t="s">
        <v>371</v>
      </c>
      <c r="C102" s="16" t="n">
        <v>140</v>
      </c>
      <c r="D102" s="18" t="n">
        <v>10</v>
      </c>
      <c r="E102" s="13" t="s">
        <v>162</v>
      </c>
      <c r="F102" s="13" t="str">
        <f aca="false">INDEX('Page Plan'!$E$2:$E$33,MATCH(E102,'Page Plan'!$A$2:$A$33,0))</f>
        <v>/commercial/commercial-refrigeration-repair</v>
      </c>
      <c r="G102" s="13" t="str">
        <f aca="false">INDEX('Page Plan'!$G$2:$G$33,MATCH(E102,'Page Plan'!$A$2:$A$33,0))</f>
        <v>Create new</v>
      </c>
      <c r="H102" s="18" t="str">
        <f aca="false">IF(A102=INDEX('Page Plan'!$H$2:$H$33,MATCH(E102,'Page Plan'!$A$2:$A$33,0)),"Primary","Secondary")</f>
        <v>Secondary</v>
      </c>
      <c r="I102" s="13" t="str">
        <f aca="false">IF(ISNUMBER(SEARCH("Informational",B102)),IF(ISNUMBER(SEARCH("Commercial",B102)),"Money","Support"),"Money")</f>
        <v>Money</v>
      </c>
    </row>
    <row r="103" customFormat="false" ht="15" hidden="false" customHeight="false" outlineLevel="0" collapsed="false">
      <c r="A103" s="13" t="s">
        <v>463</v>
      </c>
      <c r="B103" s="13" t="s">
        <v>371</v>
      </c>
      <c r="C103" s="16" t="n">
        <v>140</v>
      </c>
      <c r="D103" s="18" t="n">
        <v>7</v>
      </c>
      <c r="E103" s="13" t="s">
        <v>162</v>
      </c>
      <c r="F103" s="13" t="str">
        <f aca="false">INDEX('Page Plan'!$E$2:$E$33,MATCH(E103,'Page Plan'!$A$2:$A$33,0))</f>
        <v>/commercial/commercial-refrigeration-repair</v>
      </c>
      <c r="G103" s="13" t="str">
        <f aca="false">INDEX('Page Plan'!$G$2:$G$33,MATCH(E103,'Page Plan'!$A$2:$A$33,0))</f>
        <v>Create new</v>
      </c>
      <c r="H103" s="18" t="str">
        <f aca="false">IF(A103=INDEX('Page Plan'!$H$2:$H$33,MATCH(E103,'Page Plan'!$A$2:$A$33,0)),"Primary","Secondary")</f>
        <v>Secondary</v>
      </c>
      <c r="I103" s="13" t="str">
        <f aca="false">IF(ISNUMBER(SEARCH("Informational",B103)),IF(ISNUMBER(SEARCH("Commercial",B103)),"Money","Support"),"Money")</f>
        <v>Money</v>
      </c>
    </row>
    <row r="104" customFormat="false" ht="15" hidden="false" customHeight="false" outlineLevel="0" collapsed="false">
      <c r="A104" s="13" t="s">
        <v>464</v>
      </c>
      <c r="B104" s="13" t="s">
        <v>371</v>
      </c>
      <c r="C104" s="16" t="n">
        <v>140</v>
      </c>
      <c r="D104" s="18" t="n">
        <v>12</v>
      </c>
      <c r="E104" s="13" t="s">
        <v>162</v>
      </c>
      <c r="F104" s="13" t="str">
        <f aca="false">INDEX('Page Plan'!$E$2:$E$33,MATCH(E104,'Page Plan'!$A$2:$A$33,0))</f>
        <v>/commercial/commercial-refrigeration-repair</v>
      </c>
      <c r="G104" s="13" t="str">
        <f aca="false">INDEX('Page Plan'!$G$2:$G$33,MATCH(E104,'Page Plan'!$A$2:$A$33,0))</f>
        <v>Create new</v>
      </c>
      <c r="H104" s="18" t="str">
        <f aca="false">IF(A104=INDEX('Page Plan'!$H$2:$H$33,MATCH(E104,'Page Plan'!$A$2:$A$33,0)),"Primary","Secondary")</f>
        <v>Secondary</v>
      </c>
      <c r="I104" s="13" t="str">
        <f aca="false">IF(ISNUMBER(SEARCH("Informational",B104)),IF(ISNUMBER(SEARCH("Commercial",B104)),"Money","Support"),"Money")</f>
        <v>Money</v>
      </c>
    </row>
    <row r="105" customFormat="false" ht="15" hidden="false" customHeight="false" outlineLevel="0" collapsed="false">
      <c r="A105" s="13" t="s">
        <v>465</v>
      </c>
      <c r="B105" s="13" t="s">
        <v>371</v>
      </c>
      <c r="C105" s="16" t="n">
        <v>90</v>
      </c>
      <c r="D105" s="18" t="n">
        <v>14</v>
      </c>
      <c r="E105" s="13" t="s">
        <v>162</v>
      </c>
      <c r="F105" s="13" t="str">
        <f aca="false">INDEX('Page Plan'!$E$2:$E$33,MATCH(E105,'Page Plan'!$A$2:$A$33,0))</f>
        <v>/commercial/commercial-refrigeration-repair</v>
      </c>
      <c r="G105" s="13" t="str">
        <f aca="false">INDEX('Page Plan'!$G$2:$G$33,MATCH(E105,'Page Plan'!$A$2:$A$33,0))</f>
        <v>Create new</v>
      </c>
      <c r="H105" s="18" t="str">
        <f aca="false">IF(A105=INDEX('Page Plan'!$H$2:$H$33,MATCH(E105,'Page Plan'!$A$2:$A$33,0)),"Primary","Secondary")</f>
        <v>Secondary</v>
      </c>
      <c r="I105" s="13" t="str">
        <f aca="false">IF(ISNUMBER(SEARCH("Informational",B105)),IF(ISNUMBER(SEARCH("Commercial",B105)),"Money","Support"),"Money")</f>
        <v>Money</v>
      </c>
    </row>
    <row r="106" customFormat="false" ht="15" hidden="false" customHeight="false" outlineLevel="0" collapsed="false">
      <c r="A106" s="13" t="s">
        <v>466</v>
      </c>
      <c r="B106" s="13" t="s">
        <v>371</v>
      </c>
      <c r="C106" s="16" t="n">
        <v>90</v>
      </c>
      <c r="D106" s="18" t="n">
        <v>16</v>
      </c>
      <c r="E106" s="13" t="s">
        <v>162</v>
      </c>
      <c r="F106" s="13" t="str">
        <f aca="false">INDEX('Page Plan'!$E$2:$E$33,MATCH(E106,'Page Plan'!$A$2:$A$33,0))</f>
        <v>/commercial/commercial-refrigeration-repair</v>
      </c>
      <c r="G106" s="13" t="str">
        <f aca="false">INDEX('Page Plan'!$G$2:$G$33,MATCH(E106,'Page Plan'!$A$2:$A$33,0))</f>
        <v>Create new</v>
      </c>
      <c r="H106" s="18" t="str">
        <f aca="false">IF(A106=INDEX('Page Plan'!$H$2:$H$33,MATCH(E106,'Page Plan'!$A$2:$A$33,0)),"Primary","Secondary")</f>
        <v>Secondary</v>
      </c>
      <c r="I106" s="13" t="str">
        <f aca="false">IF(ISNUMBER(SEARCH("Informational",B106)),IF(ISNUMBER(SEARCH("Commercial",B106)),"Money","Support"),"Money")</f>
        <v>Money</v>
      </c>
    </row>
    <row r="107" customFormat="false" ht="15" hidden="false" customHeight="false" outlineLevel="0" collapsed="false">
      <c r="A107" s="13" t="s">
        <v>467</v>
      </c>
      <c r="B107" s="13" t="s">
        <v>371</v>
      </c>
      <c r="C107" s="16" t="n">
        <v>90</v>
      </c>
      <c r="D107" s="18" t="n">
        <v>14</v>
      </c>
      <c r="E107" s="13" t="s">
        <v>162</v>
      </c>
      <c r="F107" s="13" t="str">
        <f aca="false">INDEX('Page Plan'!$E$2:$E$33,MATCH(E107,'Page Plan'!$A$2:$A$33,0))</f>
        <v>/commercial/commercial-refrigeration-repair</v>
      </c>
      <c r="G107" s="13" t="str">
        <f aca="false">INDEX('Page Plan'!$G$2:$G$33,MATCH(E107,'Page Plan'!$A$2:$A$33,0))</f>
        <v>Create new</v>
      </c>
      <c r="H107" s="18" t="str">
        <f aca="false">IF(A107=INDEX('Page Plan'!$H$2:$H$33,MATCH(E107,'Page Plan'!$A$2:$A$33,0)),"Primary","Secondary")</f>
        <v>Secondary</v>
      </c>
      <c r="I107" s="13" t="str">
        <f aca="false">IF(ISNUMBER(SEARCH("Informational",B107)),IF(ISNUMBER(SEARCH("Commercial",B107)),"Money","Support"),"Money")</f>
        <v>Money</v>
      </c>
    </row>
    <row r="108" customFormat="false" ht="15" hidden="false" customHeight="false" outlineLevel="0" collapsed="false">
      <c r="A108" s="13" t="s">
        <v>468</v>
      </c>
      <c r="B108" s="13" t="s">
        <v>371</v>
      </c>
      <c r="C108" s="16" t="n">
        <v>90</v>
      </c>
      <c r="D108" s="18" t="n">
        <v>5</v>
      </c>
      <c r="E108" s="13" t="s">
        <v>162</v>
      </c>
      <c r="F108" s="13" t="str">
        <f aca="false">INDEX('Page Plan'!$E$2:$E$33,MATCH(E108,'Page Plan'!$A$2:$A$33,0))</f>
        <v>/commercial/commercial-refrigeration-repair</v>
      </c>
      <c r="G108" s="13" t="str">
        <f aca="false">INDEX('Page Plan'!$G$2:$G$33,MATCH(E108,'Page Plan'!$A$2:$A$33,0))</f>
        <v>Create new</v>
      </c>
      <c r="H108" s="18" t="str">
        <f aca="false">IF(A108=INDEX('Page Plan'!$H$2:$H$33,MATCH(E108,'Page Plan'!$A$2:$A$33,0)),"Primary","Secondary")</f>
        <v>Secondary</v>
      </c>
      <c r="I108" s="13" t="str">
        <f aca="false">IF(ISNUMBER(SEARCH("Informational",B108)),IF(ISNUMBER(SEARCH("Commercial",B108)),"Money","Support"),"Money")</f>
        <v>Money</v>
      </c>
    </row>
    <row r="109" customFormat="false" ht="15" hidden="false" customHeight="false" outlineLevel="0" collapsed="false">
      <c r="A109" s="13" t="s">
        <v>469</v>
      </c>
      <c r="B109" s="13" t="s">
        <v>371</v>
      </c>
      <c r="C109" s="16" t="n">
        <v>70</v>
      </c>
      <c r="D109" s="18" t="n">
        <v>5</v>
      </c>
      <c r="E109" s="13" t="s">
        <v>162</v>
      </c>
      <c r="F109" s="13" t="str">
        <f aca="false">INDEX('Page Plan'!$E$2:$E$33,MATCH(E109,'Page Plan'!$A$2:$A$33,0))</f>
        <v>/commercial/commercial-refrigeration-repair</v>
      </c>
      <c r="G109" s="13" t="str">
        <f aca="false">INDEX('Page Plan'!$G$2:$G$33,MATCH(E109,'Page Plan'!$A$2:$A$33,0))</f>
        <v>Create new</v>
      </c>
      <c r="H109" s="18" t="str">
        <f aca="false">IF(A109=INDEX('Page Plan'!$H$2:$H$33,MATCH(E109,'Page Plan'!$A$2:$A$33,0)),"Primary","Secondary")</f>
        <v>Secondary</v>
      </c>
      <c r="I109" s="13" t="str">
        <f aca="false">IF(ISNUMBER(SEARCH("Informational",B109)),IF(ISNUMBER(SEARCH("Commercial",B109)),"Money","Support"),"Money")</f>
        <v>Money</v>
      </c>
    </row>
    <row r="110" customFormat="false" ht="15" hidden="false" customHeight="false" outlineLevel="0" collapsed="false">
      <c r="A110" s="13" t="s">
        <v>470</v>
      </c>
      <c r="B110" s="13" t="s">
        <v>371</v>
      </c>
      <c r="C110" s="16" t="n">
        <v>70</v>
      </c>
      <c r="D110" s="18" t="n">
        <v>5</v>
      </c>
      <c r="E110" s="13" t="s">
        <v>162</v>
      </c>
      <c r="F110" s="13" t="str">
        <f aca="false">INDEX('Page Plan'!$E$2:$E$33,MATCH(E110,'Page Plan'!$A$2:$A$33,0))</f>
        <v>/commercial/commercial-refrigeration-repair</v>
      </c>
      <c r="G110" s="13" t="str">
        <f aca="false">INDEX('Page Plan'!$G$2:$G$33,MATCH(E110,'Page Plan'!$A$2:$A$33,0))</f>
        <v>Create new</v>
      </c>
      <c r="H110" s="18" t="str">
        <f aca="false">IF(A110=INDEX('Page Plan'!$H$2:$H$33,MATCH(E110,'Page Plan'!$A$2:$A$33,0)),"Primary","Secondary")</f>
        <v>Secondary</v>
      </c>
      <c r="I110" s="13" t="str">
        <f aca="false">IF(ISNUMBER(SEARCH("Informational",B110)),IF(ISNUMBER(SEARCH("Commercial",B110)),"Money","Support"),"Money")</f>
        <v>Money</v>
      </c>
    </row>
    <row r="111" customFormat="false" ht="15" hidden="false" customHeight="false" outlineLevel="0" collapsed="false">
      <c r="A111" s="13" t="s">
        <v>471</v>
      </c>
      <c r="B111" s="13" t="s">
        <v>371</v>
      </c>
      <c r="C111" s="16" t="n">
        <v>70</v>
      </c>
      <c r="D111" s="18" t="n">
        <v>5</v>
      </c>
      <c r="E111" s="13" t="s">
        <v>162</v>
      </c>
      <c r="F111" s="13" t="str">
        <f aca="false">INDEX('Page Plan'!$E$2:$E$33,MATCH(E111,'Page Plan'!$A$2:$A$33,0))</f>
        <v>/commercial/commercial-refrigeration-repair</v>
      </c>
      <c r="G111" s="13" t="str">
        <f aca="false">INDEX('Page Plan'!$G$2:$G$33,MATCH(E111,'Page Plan'!$A$2:$A$33,0))</f>
        <v>Create new</v>
      </c>
      <c r="H111" s="18" t="str">
        <f aca="false">IF(A111=INDEX('Page Plan'!$H$2:$H$33,MATCH(E111,'Page Plan'!$A$2:$A$33,0)),"Primary","Secondary")</f>
        <v>Secondary</v>
      </c>
      <c r="I111" s="13" t="str">
        <f aca="false">IF(ISNUMBER(SEARCH("Informational",B111)),IF(ISNUMBER(SEARCH("Commercial",B111)),"Money","Support"),"Money")</f>
        <v>Money</v>
      </c>
    </row>
    <row r="112" customFormat="false" ht="15" hidden="false" customHeight="false" outlineLevel="0" collapsed="false">
      <c r="A112" s="13" t="s">
        <v>472</v>
      </c>
      <c r="B112" s="13" t="s">
        <v>369</v>
      </c>
      <c r="C112" s="16" t="n">
        <v>70</v>
      </c>
      <c r="D112" s="18" t="n">
        <v>7</v>
      </c>
      <c r="E112" s="13" t="s">
        <v>162</v>
      </c>
      <c r="F112" s="13" t="str">
        <f aca="false">INDEX('Page Plan'!$E$2:$E$33,MATCH(E112,'Page Plan'!$A$2:$A$33,0))</f>
        <v>/commercial/commercial-refrigeration-repair</v>
      </c>
      <c r="G112" s="13" t="str">
        <f aca="false">INDEX('Page Plan'!$G$2:$G$33,MATCH(E112,'Page Plan'!$A$2:$A$33,0))</f>
        <v>Create new</v>
      </c>
      <c r="H112" s="18" t="str">
        <f aca="false">IF(A112=INDEX('Page Plan'!$H$2:$H$33,MATCH(E112,'Page Plan'!$A$2:$A$33,0)),"Primary","Secondary")</f>
        <v>Secondary</v>
      </c>
      <c r="I112" s="13" t="str">
        <f aca="false">IF(ISNUMBER(SEARCH("Informational",B112)),IF(ISNUMBER(SEARCH("Commercial",B112)),"Money","Support"),"Money")</f>
        <v>Money</v>
      </c>
    </row>
    <row r="113" customFormat="false" ht="15" hidden="false" customHeight="false" outlineLevel="0" collapsed="false">
      <c r="A113" s="13" t="s">
        <v>473</v>
      </c>
      <c r="B113" s="13" t="s">
        <v>371</v>
      </c>
      <c r="C113" s="16" t="n">
        <v>50</v>
      </c>
      <c r="D113" s="18" t="n">
        <v>11</v>
      </c>
      <c r="E113" s="13" t="s">
        <v>162</v>
      </c>
      <c r="F113" s="13" t="str">
        <f aca="false">INDEX('Page Plan'!$E$2:$E$33,MATCH(E113,'Page Plan'!$A$2:$A$33,0))</f>
        <v>/commercial/commercial-refrigeration-repair</v>
      </c>
      <c r="G113" s="13" t="str">
        <f aca="false">INDEX('Page Plan'!$G$2:$G$33,MATCH(E113,'Page Plan'!$A$2:$A$33,0))</f>
        <v>Create new</v>
      </c>
      <c r="H113" s="18" t="str">
        <f aca="false">IF(A113=INDEX('Page Plan'!$H$2:$H$33,MATCH(E113,'Page Plan'!$A$2:$A$33,0)),"Primary","Secondary")</f>
        <v>Secondary</v>
      </c>
      <c r="I113" s="13" t="str">
        <f aca="false">IF(ISNUMBER(SEARCH("Informational",B113)),IF(ISNUMBER(SEARCH("Commercial",B113)),"Money","Support"),"Money")</f>
        <v>Money</v>
      </c>
    </row>
    <row r="114" customFormat="false" ht="15" hidden="false" customHeight="false" outlineLevel="0" collapsed="false">
      <c r="A114" s="13" t="s">
        <v>474</v>
      </c>
      <c r="B114" s="13" t="s">
        <v>369</v>
      </c>
      <c r="C114" s="16" t="n">
        <v>50</v>
      </c>
      <c r="D114" s="18" t="n">
        <v>15</v>
      </c>
      <c r="E114" s="13" t="s">
        <v>162</v>
      </c>
      <c r="F114" s="13" t="str">
        <f aca="false">INDEX('Page Plan'!$E$2:$E$33,MATCH(E114,'Page Plan'!$A$2:$A$33,0))</f>
        <v>/commercial/commercial-refrigeration-repair</v>
      </c>
      <c r="G114" s="13" t="str">
        <f aca="false">INDEX('Page Plan'!$G$2:$G$33,MATCH(E114,'Page Plan'!$A$2:$A$33,0))</f>
        <v>Create new</v>
      </c>
      <c r="H114" s="18" t="str">
        <f aca="false">IF(A114=INDEX('Page Plan'!$H$2:$H$33,MATCH(E114,'Page Plan'!$A$2:$A$33,0)),"Primary","Secondary")</f>
        <v>Secondary</v>
      </c>
      <c r="I114" s="13" t="str">
        <f aca="false">IF(ISNUMBER(SEARCH("Informational",B114)),IF(ISNUMBER(SEARCH("Commercial",B114)),"Money","Support"),"Money")</f>
        <v>Money</v>
      </c>
    </row>
    <row r="115" customFormat="false" ht="15" hidden="false" customHeight="false" outlineLevel="0" collapsed="false">
      <c r="A115" s="13" t="s">
        <v>475</v>
      </c>
      <c r="B115" s="13" t="s">
        <v>371</v>
      </c>
      <c r="C115" s="16" t="n">
        <v>50</v>
      </c>
      <c r="D115" s="18" t="n">
        <v>8</v>
      </c>
      <c r="E115" s="13" t="s">
        <v>162</v>
      </c>
      <c r="F115" s="13" t="str">
        <f aca="false">INDEX('Page Plan'!$E$2:$E$33,MATCH(E115,'Page Plan'!$A$2:$A$33,0))</f>
        <v>/commercial/commercial-refrigeration-repair</v>
      </c>
      <c r="G115" s="13" t="str">
        <f aca="false">INDEX('Page Plan'!$G$2:$G$33,MATCH(E115,'Page Plan'!$A$2:$A$33,0))</f>
        <v>Create new</v>
      </c>
      <c r="H115" s="18" t="str">
        <f aca="false">IF(A115=INDEX('Page Plan'!$H$2:$H$33,MATCH(E115,'Page Plan'!$A$2:$A$33,0)),"Primary","Secondary")</f>
        <v>Secondary</v>
      </c>
      <c r="I115" s="13" t="str">
        <f aca="false">IF(ISNUMBER(SEARCH("Informational",B115)),IF(ISNUMBER(SEARCH("Commercial",B115)),"Money","Support"),"Money")</f>
        <v>Money</v>
      </c>
    </row>
    <row r="116" customFormat="false" ht="15" hidden="false" customHeight="false" outlineLevel="0" collapsed="false">
      <c r="A116" s="13" t="s">
        <v>476</v>
      </c>
      <c r="B116" s="13" t="s">
        <v>371</v>
      </c>
      <c r="C116" s="16" t="n">
        <v>50</v>
      </c>
      <c r="D116" s="18" t="n">
        <v>5</v>
      </c>
      <c r="E116" s="13" t="s">
        <v>162</v>
      </c>
      <c r="F116" s="13" t="str">
        <f aca="false">INDEX('Page Plan'!$E$2:$E$33,MATCH(E116,'Page Plan'!$A$2:$A$33,0))</f>
        <v>/commercial/commercial-refrigeration-repair</v>
      </c>
      <c r="G116" s="13" t="str">
        <f aca="false">INDEX('Page Plan'!$G$2:$G$33,MATCH(E116,'Page Plan'!$A$2:$A$33,0))</f>
        <v>Create new</v>
      </c>
      <c r="H116" s="18" t="str">
        <f aca="false">IF(A116=INDEX('Page Plan'!$H$2:$H$33,MATCH(E116,'Page Plan'!$A$2:$A$33,0)),"Primary","Secondary")</f>
        <v>Secondary</v>
      </c>
      <c r="I116" s="13" t="str">
        <f aca="false">IF(ISNUMBER(SEARCH("Informational",B116)),IF(ISNUMBER(SEARCH("Commercial",B116)),"Money","Support"),"Money")</f>
        <v>Money</v>
      </c>
    </row>
    <row r="117" customFormat="false" ht="15" hidden="false" customHeight="false" outlineLevel="0" collapsed="false">
      <c r="A117" s="13" t="s">
        <v>174</v>
      </c>
      <c r="B117" s="13" t="s">
        <v>371</v>
      </c>
      <c r="C117" s="16" t="n">
        <v>590</v>
      </c>
      <c r="D117" s="18" t="n">
        <v>10</v>
      </c>
      <c r="E117" s="13" t="s">
        <v>171</v>
      </c>
      <c r="F117" s="13" t="str">
        <f aca="false">INDEX('Page Plan'!$E$2:$E$33,MATCH(E117,'Page Plan'!$A$2:$A$33,0))</f>
        <v>/commercial/commercial-freezer-repair</v>
      </c>
      <c r="G117" s="13" t="str">
        <f aca="false">INDEX('Page Plan'!$G$2:$G$33,MATCH(E117,'Page Plan'!$A$2:$A$33,0))</f>
        <v>Create new</v>
      </c>
      <c r="H117" s="18" t="str">
        <f aca="false">IF(A117=INDEX('Page Plan'!$H$2:$H$33,MATCH(E117,'Page Plan'!$A$2:$A$33,0)),"Primary","Secondary")</f>
        <v>Primary</v>
      </c>
      <c r="I117" s="13" t="str">
        <f aca="false">IF(ISNUMBER(SEARCH("Informational",B117)),IF(ISNUMBER(SEARCH("Commercial",B117)),"Money","Support"),"Money")</f>
        <v>Money</v>
      </c>
    </row>
    <row r="118" customFormat="false" ht="15" hidden="false" customHeight="false" outlineLevel="0" collapsed="false">
      <c r="A118" s="13" t="s">
        <v>477</v>
      </c>
      <c r="B118" s="13" t="s">
        <v>371</v>
      </c>
      <c r="C118" s="16" t="n">
        <v>210</v>
      </c>
      <c r="D118" s="18" t="n">
        <v>6</v>
      </c>
      <c r="E118" s="13" t="s">
        <v>171</v>
      </c>
      <c r="F118" s="13" t="str">
        <f aca="false">INDEX('Page Plan'!$E$2:$E$33,MATCH(E118,'Page Plan'!$A$2:$A$33,0))</f>
        <v>/commercial/commercial-freezer-repair</v>
      </c>
      <c r="G118" s="13" t="str">
        <f aca="false">INDEX('Page Plan'!$G$2:$G$33,MATCH(E118,'Page Plan'!$A$2:$A$33,0))</f>
        <v>Create new</v>
      </c>
      <c r="H118" s="18" t="str">
        <f aca="false">IF(A118=INDEX('Page Plan'!$H$2:$H$33,MATCH(E118,'Page Plan'!$A$2:$A$33,0)),"Primary","Secondary")</f>
        <v>Secondary</v>
      </c>
      <c r="I118" s="13" t="str">
        <f aca="false">IF(ISNUMBER(SEARCH("Informational",B118)),IF(ISNUMBER(SEARCH("Commercial",B118)),"Money","Support"),"Money")</f>
        <v>Money</v>
      </c>
    </row>
    <row r="119" customFormat="false" ht="15" hidden="false" customHeight="false" outlineLevel="0" collapsed="false">
      <c r="A119" s="13" t="s">
        <v>478</v>
      </c>
      <c r="B119" s="13" t="s">
        <v>371</v>
      </c>
      <c r="C119" s="16" t="n">
        <v>140</v>
      </c>
      <c r="D119" s="18" t="n">
        <v>8</v>
      </c>
      <c r="E119" s="13" t="s">
        <v>171</v>
      </c>
      <c r="F119" s="13" t="str">
        <f aca="false">INDEX('Page Plan'!$E$2:$E$33,MATCH(E119,'Page Plan'!$A$2:$A$33,0))</f>
        <v>/commercial/commercial-freezer-repair</v>
      </c>
      <c r="G119" s="13" t="str">
        <f aca="false">INDEX('Page Plan'!$G$2:$G$33,MATCH(E119,'Page Plan'!$A$2:$A$33,0))</f>
        <v>Create new</v>
      </c>
      <c r="H119" s="18" t="str">
        <f aca="false">IF(A119=INDEX('Page Plan'!$H$2:$H$33,MATCH(E119,'Page Plan'!$A$2:$A$33,0)),"Primary","Secondary")</f>
        <v>Secondary</v>
      </c>
      <c r="I119" s="13" t="str">
        <f aca="false">IF(ISNUMBER(SEARCH("Informational",B119)),IF(ISNUMBER(SEARCH("Commercial",B119)),"Money","Support"),"Money")</f>
        <v>Money</v>
      </c>
    </row>
    <row r="120" customFormat="false" ht="15" hidden="false" customHeight="false" outlineLevel="0" collapsed="false">
      <c r="A120" s="13" t="s">
        <v>479</v>
      </c>
      <c r="B120" s="13" t="s">
        <v>369</v>
      </c>
      <c r="C120" s="16" t="n">
        <v>140</v>
      </c>
      <c r="D120" s="18" t="n">
        <v>17</v>
      </c>
      <c r="E120" s="13" t="s">
        <v>171</v>
      </c>
      <c r="F120" s="13" t="str">
        <f aca="false">INDEX('Page Plan'!$E$2:$E$33,MATCH(E120,'Page Plan'!$A$2:$A$33,0))</f>
        <v>/commercial/commercial-freezer-repair</v>
      </c>
      <c r="G120" s="13" t="str">
        <f aca="false">INDEX('Page Plan'!$G$2:$G$33,MATCH(E120,'Page Plan'!$A$2:$A$33,0))</f>
        <v>Create new</v>
      </c>
      <c r="H120" s="18" t="str">
        <f aca="false">IF(A120=INDEX('Page Plan'!$H$2:$H$33,MATCH(E120,'Page Plan'!$A$2:$A$33,0)),"Primary","Secondary")</f>
        <v>Secondary</v>
      </c>
      <c r="I120" s="13" t="str">
        <f aca="false">IF(ISNUMBER(SEARCH("Informational",B120)),IF(ISNUMBER(SEARCH("Commercial",B120)),"Money","Support"),"Money")</f>
        <v>Money</v>
      </c>
    </row>
    <row r="121" customFormat="false" ht="15" hidden="false" customHeight="false" outlineLevel="0" collapsed="false">
      <c r="A121" s="13" t="s">
        <v>480</v>
      </c>
      <c r="B121" s="13" t="s">
        <v>371</v>
      </c>
      <c r="C121" s="16" t="n">
        <v>90</v>
      </c>
      <c r="D121" s="18" t="n">
        <v>8</v>
      </c>
      <c r="E121" s="13" t="s">
        <v>171</v>
      </c>
      <c r="F121" s="13" t="str">
        <f aca="false">INDEX('Page Plan'!$E$2:$E$33,MATCH(E121,'Page Plan'!$A$2:$A$33,0))</f>
        <v>/commercial/commercial-freezer-repair</v>
      </c>
      <c r="G121" s="13" t="str">
        <f aca="false">INDEX('Page Plan'!$G$2:$G$33,MATCH(E121,'Page Plan'!$A$2:$A$33,0))</f>
        <v>Create new</v>
      </c>
      <c r="H121" s="18" t="str">
        <f aca="false">IF(A121=INDEX('Page Plan'!$H$2:$H$33,MATCH(E121,'Page Plan'!$A$2:$A$33,0)),"Primary","Secondary")</f>
        <v>Secondary</v>
      </c>
      <c r="I121" s="13" t="str">
        <f aca="false">IF(ISNUMBER(SEARCH("Informational",B121)),IF(ISNUMBER(SEARCH("Commercial",B121)),"Money","Support"),"Money")</f>
        <v>Money</v>
      </c>
    </row>
    <row r="122" customFormat="false" ht="15" hidden="false" customHeight="false" outlineLevel="0" collapsed="false">
      <c r="A122" s="13" t="s">
        <v>481</v>
      </c>
      <c r="B122" s="13" t="s">
        <v>369</v>
      </c>
      <c r="C122" s="16" t="n">
        <v>50</v>
      </c>
      <c r="D122" s="18" t="n">
        <v>3</v>
      </c>
      <c r="E122" s="13" t="s">
        <v>171</v>
      </c>
      <c r="F122" s="13" t="str">
        <f aca="false">INDEX('Page Plan'!$E$2:$E$33,MATCH(E122,'Page Plan'!$A$2:$A$33,0))</f>
        <v>/commercial/commercial-freezer-repair</v>
      </c>
      <c r="G122" s="13" t="str">
        <f aca="false">INDEX('Page Plan'!$G$2:$G$33,MATCH(E122,'Page Plan'!$A$2:$A$33,0))</f>
        <v>Create new</v>
      </c>
      <c r="H122" s="18" t="str">
        <f aca="false">IF(A122=INDEX('Page Plan'!$H$2:$H$33,MATCH(E122,'Page Plan'!$A$2:$A$33,0)),"Primary","Secondary")</f>
        <v>Secondary</v>
      </c>
      <c r="I122" s="13" t="str">
        <f aca="false">IF(ISNUMBER(SEARCH("Informational",B122)),IF(ISNUMBER(SEARCH("Commercial",B122)),"Money","Support"),"Money")</f>
        <v>Money</v>
      </c>
    </row>
    <row r="123" customFormat="false" ht="15" hidden="false" customHeight="false" outlineLevel="0" collapsed="false">
      <c r="A123" s="13" t="s">
        <v>183</v>
      </c>
      <c r="B123" s="13" t="s">
        <v>371</v>
      </c>
      <c r="C123" s="16" t="n">
        <v>480</v>
      </c>
      <c r="D123" s="18" t="n">
        <v>3</v>
      </c>
      <c r="E123" s="13" t="s">
        <v>180</v>
      </c>
      <c r="F123" s="13" t="str">
        <f aca="false">INDEX('Page Plan'!$E$2:$E$33,MATCH(E123,'Page Plan'!$A$2:$A$33,0))</f>
        <v>/commercial/coolroom-repair</v>
      </c>
      <c r="G123" s="13" t="str">
        <f aca="false">INDEX('Page Plan'!$G$2:$G$33,MATCH(E123,'Page Plan'!$A$2:$A$33,0))</f>
        <v>Create new</v>
      </c>
      <c r="H123" s="18" t="str">
        <f aca="false">IF(A123=INDEX('Page Plan'!$H$2:$H$33,MATCH(E123,'Page Plan'!$A$2:$A$33,0)),"Primary","Secondary")</f>
        <v>Primary</v>
      </c>
      <c r="I123" s="13" t="str">
        <f aca="false">IF(ISNUMBER(SEARCH("Informational",B123)),IF(ISNUMBER(SEARCH("Commercial",B123)),"Money","Support"),"Money")</f>
        <v>Money</v>
      </c>
    </row>
    <row r="124" customFormat="false" ht="15" hidden="false" customHeight="false" outlineLevel="0" collapsed="false">
      <c r="A124" s="13" t="s">
        <v>482</v>
      </c>
      <c r="B124" s="13" t="s">
        <v>371</v>
      </c>
      <c r="C124" s="16" t="n">
        <v>260</v>
      </c>
      <c r="D124" s="18" t="n">
        <v>11</v>
      </c>
      <c r="E124" s="13" t="s">
        <v>180</v>
      </c>
      <c r="F124" s="13" t="str">
        <f aca="false">INDEX('Page Plan'!$E$2:$E$33,MATCH(E124,'Page Plan'!$A$2:$A$33,0))</f>
        <v>/commercial/coolroom-repair</v>
      </c>
      <c r="G124" s="13" t="str">
        <f aca="false">INDEX('Page Plan'!$G$2:$G$33,MATCH(E124,'Page Plan'!$A$2:$A$33,0))</f>
        <v>Create new</v>
      </c>
      <c r="H124" s="18" t="str">
        <f aca="false">IF(A124=INDEX('Page Plan'!$H$2:$H$33,MATCH(E124,'Page Plan'!$A$2:$A$33,0)),"Primary","Secondary")</f>
        <v>Secondary</v>
      </c>
      <c r="I124" s="13" t="str">
        <f aca="false">IF(ISNUMBER(SEARCH("Informational",B124)),IF(ISNUMBER(SEARCH("Commercial",B124)),"Money","Support"),"Money")</f>
        <v>Money</v>
      </c>
    </row>
    <row r="125" customFormat="false" ht="15" hidden="false" customHeight="false" outlineLevel="0" collapsed="false">
      <c r="A125" s="13" t="s">
        <v>483</v>
      </c>
      <c r="B125" s="13" t="s">
        <v>369</v>
      </c>
      <c r="C125" s="16" t="n">
        <v>170</v>
      </c>
      <c r="D125" s="18" t="n">
        <v>20</v>
      </c>
      <c r="E125" s="13" t="s">
        <v>180</v>
      </c>
      <c r="F125" s="13" t="str">
        <f aca="false">INDEX('Page Plan'!$E$2:$E$33,MATCH(E125,'Page Plan'!$A$2:$A$33,0))</f>
        <v>/commercial/coolroom-repair</v>
      </c>
      <c r="G125" s="13" t="str">
        <f aca="false">INDEX('Page Plan'!$G$2:$G$33,MATCH(E125,'Page Plan'!$A$2:$A$33,0))</f>
        <v>Create new</v>
      </c>
      <c r="H125" s="18" t="str">
        <f aca="false">IF(A125=INDEX('Page Plan'!$H$2:$H$33,MATCH(E125,'Page Plan'!$A$2:$A$33,0)),"Primary","Secondary")</f>
        <v>Secondary</v>
      </c>
      <c r="I125" s="13" t="str">
        <f aca="false">IF(ISNUMBER(SEARCH("Informational",B125)),IF(ISNUMBER(SEARCH("Commercial",B125)),"Money","Support"),"Money")</f>
        <v>Money</v>
      </c>
    </row>
    <row r="126" customFormat="false" ht="15" hidden="false" customHeight="false" outlineLevel="0" collapsed="false">
      <c r="A126" s="13" t="s">
        <v>484</v>
      </c>
      <c r="B126" s="13" t="s">
        <v>371</v>
      </c>
      <c r="C126" s="16" t="n">
        <v>140</v>
      </c>
      <c r="D126" s="18" t="n">
        <v>18</v>
      </c>
      <c r="E126" s="13" t="s">
        <v>180</v>
      </c>
      <c r="F126" s="13" t="str">
        <f aca="false">INDEX('Page Plan'!$E$2:$E$33,MATCH(E126,'Page Plan'!$A$2:$A$33,0))</f>
        <v>/commercial/coolroom-repair</v>
      </c>
      <c r="G126" s="13" t="str">
        <f aca="false">INDEX('Page Plan'!$G$2:$G$33,MATCH(E126,'Page Plan'!$A$2:$A$33,0))</f>
        <v>Create new</v>
      </c>
      <c r="H126" s="18" t="str">
        <f aca="false">IF(A126=INDEX('Page Plan'!$H$2:$H$33,MATCH(E126,'Page Plan'!$A$2:$A$33,0)),"Primary","Secondary")</f>
        <v>Secondary</v>
      </c>
      <c r="I126" s="13" t="str">
        <f aca="false">IF(ISNUMBER(SEARCH("Informational",B126)),IF(ISNUMBER(SEARCH("Commercial",B126)),"Money","Support"),"Money")</f>
        <v>Money</v>
      </c>
    </row>
    <row r="127" customFormat="false" ht="15" hidden="false" customHeight="false" outlineLevel="0" collapsed="false">
      <c r="A127" s="13" t="s">
        <v>485</v>
      </c>
      <c r="B127" s="13" t="s">
        <v>369</v>
      </c>
      <c r="C127" s="16" t="n">
        <v>110</v>
      </c>
      <c r="D127" s="18" t="n">
        <v>11</v>
      </c>
      <c r="E127" s="13" t="s">
        <v>180</v>
      </c>
      <c r="F127" s="13" t="str">
        <f aca="false">INDEX('Page Plan'!$E$2:$E$33,MATCH(E127,'Page Plan'!$A$2:$A$33,0))</f>
        <v>/commercial/coolroom-repair</v>
      </c>
      <c r="G127" s="13" t="str">
        <f aca="false">INDEX('Page Plan'!$G$2:$G$33,MATCH(E127,'Page Plan'!$A$2:$A$33,0))</f>
        <v>Create new</v>
      </c>
      <c r="H127" s="18" t="str">
        <f aca="false">IF(A127=INDEX('Page Plan'!$H$2:$H$33,MATCH(E127,'Page Plan'!$A$2:$A$33,0)),"Primary","Secondary")</f>
        <v>Secondary</v>
      </c>
      <c r="I127" s="13" t="str">
        <f aca="false">IF(ISNUMBER(SEARCH("Informational",B127)),IF(ISNUMBER(SEARCH("Commercial",B127)),"Money","Support"),"Money")</f>
        <v>Money</v>
      </c>
    </row>
    <row r="128" customFormat="false" ht="15" hidden="false" customHeight="false" outlineLevel="0" collapsed="false">
      <c r="A128" s="13" t="s">
        <v>486</v>
      </c>
      <c r="B128" s="13" t="s">
        <v>371</v>
      </c>
      <c r="C128" s="16" t="n">
        <v>90</v>
      </c>
      <c r="D128" s="18" t="n">
        <v>8</v>
      </c>
      <c r="E128" s="13" t="s">
        <v>180</v>
      </c>
      <c r="F128" s="13" t="str">
        <f aca="false">INDEX('Page Plan'!$E$2:$E$33,MATCH(E128,'Page Plan'!$A$2:$A$33,0))</f>
        <v>/commercial/coolroom-repair</v>
      </c>
      <c r="G128" s="13" t="str">
        <f aca="false">INDEX('Page Plan'!$G$2:$G$33,MATCH(E128,'Page Plan'!$A$2:$A$33,0))</f>
        <v>Create new</v>
      </c>
      <c r="H128" s="18" t="str">
        <f aca="false">IF(A128=INDEX('Page Plan'!$H$2:$H$33,MATCH(E128,'Page Plan'!$A$2:$A$33,0)),"Primary","Secondary")</f>
        <v>Secondary</v>
      </c>
      <c r="I128" s="13" t="str">
        <f aca="false">IF(ISNUMBER(SEARCH("Informational",B128)),IF(ISNUMBER(SEARCH("Commercial",B128)),"Money","Support"),"Money")</f>
        <v>Money</v>
      </c>
    </row>
    <row r="129" customFormat="false" ht="15" hidden="false" customHeight="false" outlineLevel="0" collapsed="false">
      <c r="A129" s="13" t="s">
        <v>487</v>
      </c>
      <c r="B129" s="13" t="s">
        <v>371</v>
      </c>
      <c r="C129" s="16" t="n">
        <v>90</v>
      </c>
      <c r="D129" s="18" t="n">
        <v>4</v>
      </c>
      <c r="E129" s="13" t="s">
        <v>180</v>
      </c>
      <c r="F129" s="13" t="str">
        <f aca="false">INDEX('Page Plan'!$E$2:$E$33,MATCH(E129,'Page Plan'!$A$2:$A$33,0))</f>
        <v>/commercial/coolroom-repair</v>
      </c>
      <c r="G129" s="13" t="str">
        <f aca="false">INDEX('Page Plan'!$G$2:$G$33,MATCH(E129,'Page Plan'!$A$2:$A$33,0))</f>
        <v>Create new</v>
      </c>
      <c r="H129" s="18" t="str">
        <f aca="false">IF(A129=INDEX('Page Plan'!$H$2:$H$33,MATCH(E129,'Page Plan'!$A$2:$A$33,0)),"Primary","Secondary")</f>
        <v>Secondary</v>
      </c>
      <c r="I129" s="13" t="str">
        <f aca="false">IF(ISNUMBER(SEARCH("Informational",B129)),IF(ISNUMBER(SEARCH("Commercial",B129)),"Money","Support"),"Money")</f>
        <v>Money</v>
      </c>
    </row>
    <row r="130" customFormat="false" ht="15" hidden="false" customHeight="false" outlineLevel="0" collapsed="false">
      <c r="A130" s="13" t="s">
        <v>488</v>
      </c>
      <c r="B130" s="13" t="s">
        <v>371</v>
      </c>
      <c r="C130" s="16" t="n">
        <v>90</v>
      </c>
      <c r="D130" s="18" t="n">
        <v>19</v>
      </c>
      <c r="E130" s="13" t="s">
        <v>180</v>
      </c>
      <c r="F130" s="13" t="str">
        <f aca="false">INDEX('Page Plan'!$E$2:$E$33,MATCH(E130,'Page Plan'!$A$2:$A$33,0))</f>
        <v>/commercial/coolroom-repair</v>
      </c>
      <c r="G130" s="13" t="str">
        <f aca="false">INDEX('Page Plan'!$G$2:$G$33,MATCH(E130,'Page Plan'!$A$2:$A$33,0))</f>
        <v>Create new</v>
      </c>
      <c r="H130" s="18" t="str">
        <f aca="false">IF(A130=INDEX('Page Plan'!$H$2:$H$33,MATCH(E130,'Page Plan'!$A$2:$A$33,0)),"Primary","Secondary")</f>
        <v>Secondary</v>
      </c>
      <c r="I130" s="13" t="str">
        <f aca="false">IF(ISNUMBER(SEARCH("Informational",B130)),IF(ISNUMBER(SEARCH("Commercial",B130)),"Money","Support"),"Money")</f>
        <v>Money</v>
      </c>
    </row>
    <row r="131" customFormat="false" ht="15" hidden="false" customHeight="false" outlineLevel="0" collapsed="false">
      <c r="A131" s="13" t="s">
        <v>489</v>
      </c>
      <c r="B131" s="13" t="s">
        <v>371</v>
      </c>
      <c r="C131" s="16" t="n">
        <v>90</v>
      </c>
      <c r="D131" s="18" t="n">
        <v>13</v>
      </c>
      <c r="E131" s="13" t="s">
        <v>180</v>
      </c>
      <c r="F131" s="13" t="str">
        <f aca="false">INDEX('Page Plan'!$E$2:$E$33,MATCH(E131,'Page Plan'!$A$2:$A$33,0))</f>
        <v>/commercial/coolroom-repair</v>
      </c>
      <c r="G131" s="13" t="str">
        <f aca="false">INDEX('Page Plan'!$G$2:$G$33,MATCH(E131,'Page Plan'!$A$2:$A$33,0))</f>
        <v>Create new</v>
      </c>
      <c r="H131" s="18" t="str">
        <f aca="false">IF(A131=INDEX('Page Plan'!$H$2:$H$33,MATCH(E131,'Page Plan'!$A$2:$A$33,0)),"Primary","Secondary")</f>
        <v>Secondary</v>
      </c>
      <c r="I131" s="13" t="str">
        <f aca="false">IF(ISNUMBER(SEARCH("Informational",B131)),IF(ISNUMBER(SEARCH("Commercial",B131)),"Money","Support"),"Money")</f>
        <v>Money</v>
      </c>
    </row>
    <row r="132" customFormat="false" ht="15" hidden="false" customHeight="false" outlineLevel="0" collapsed="false">
      <c r="A132" s="13" t="s">
        <v>490</v>
      </c>
      <c r="B132" s="13" t="s">
        <v>369</v>
      </c>
      <c r="C132" s="16" t="n">
        <v>70</v>
      </c>
      <c r="D132" s="18" t="n">
        <v>10</v>
      </c>
      <c r="E132" s="13" t="s">
        <v>180</v>
      </c>
      <c r="F132" s="13" t="str">
        <f aca="false">INDEX('Page Plan'!$E$2:$E$33,MATCH(E132,'Page Plan'!$A$2:$A$33,0))</f>
        <v>/commercial/coolroom-repair</v>
      </c>
      <c r="G132" s="13" t="str">
        <f aca="false">INDEX('Page Plan'!$G$2:$G$33,MATCH(E132,'Page Plan'!$A$2:$A$33,0))</f>
        <v>Create new</v>
      </c>
      <c r="H132" s="18" t="str">
        <f aca="false">IF(A132=INDEX('Page Plan'!$H$2:$H$33,MATCH(E132,'Page Plan'!$A$2:$A$33,0)),"Primary","Secondary")</f>
        <v>Secondary</v>
      </c>
      <c r="I132" s="13" t="str">
        <f aca="false">IF(ISNUMBER(SEARCH("Informational",B132)),IF(ISNUMBER(SEARCH("Commercial",B132)),"Money","Support"),"Money")</f>
        <v>Money</v>
      </c>
    </row>
    <row r="133" customFormat="false" ht="15" hidden="false" customHeight="false" outlineLevel="0" collapsed="false">
      <c r="A133" s="13" t="s">
        <v>491</v>
      </c>
      <c r="B133" s="13" t="s">
        <v>371</v>
      </c>
      <c r="C133" s="16" t="n">
        <v>70</v>
      </c>
      <c r="D133" s="18" t="n">
        <v>5</v>
      </c>
      <c r="E133" s="13" t="s">
        <v>180</v>
      </c>
      <c r="F133" s="13" t="str">
        <f aca="false">INDEX('Page Plan'!$E$2:$E$33,MATCH(E133,'Page Plan'!$A$2:$A$33,0))</f>
        <v>/commercial/coolroom-repair</v>
      </c>
      <c r="G133" s="13" t="str">
        <f aca="false">INDEX('Page Plan'!$G$2:$G$33,MATCH(E133,'Page Plan'!$A$2:$A$33,0))</f>
        <v>Create new</v>
      </c>
      <c r="H133" s="18" t="str">
        <f aca="false">IF(A133=INDEX('Page Plan'!$H$2:$H$33,MATCH(E133,'Page Plan'!$A$2:$A$33,0)),"Primary","Secondary")</f>
        <v>Secondary</v>
      </c>
      <c r="I133" s="13" t="str">
        <f aca="false">IF(ISNUMBER(SEARCH("Informational",B133)),IF(ISNUMBER(SEARCH("Commercial",B133)),"Money","Support"),"Money")</f>
        <v>Money</v>
      </c>
    </row>
    <row r="134" customFormat="false" ht="15" hidden="false" customHeight="false" outlineLevel="0" collapsed="false">
      <c r="A134" s="13" t="s">
        <v>492</v>
      </c>
      <c r="B134" s="13" t="s">
        <v>371</v>
      </c>
      <c r="C134" s="16" t="n">
        <v>70</v>
      </c>
      <c r="D134" s="18" t="n">
        <v>5</v>
      </c>
      <c r="E134" s="13" t="s">
        <v>180</v>
      </c>
      <c r="F134" s="13" t="str">
        <f aca="false">INDEX('Page Plan'!$E$2:$E$33,MATCH(E134,'Page Plan'!$A$2:$A$33,0))</f>
        <v>/commercial/coolroom-repair</v>
      </c>
      <c r="G134" s="13" t="str">
        <f aca="false">INDEX('Page Plan'!$G$2:$G$33,MATCH(E134,'Page Plan'!$A$2:$A$33,0))</f>
        <v>Create new</v>
      </c>
      <c r="H134" s="18" t="str">
        <f aca="false">IF(A134=INDEX('Page Plan'!$H$2:$H$33,MATCH(E134,'Page Plan'!$A$2:$A$33,0)),"Primary","Secondary")</f>
        <v>Secondary</v>
      </c>
      <c r="I134" s="13" t="str">
        <f aca="false">IF(ISNUMBER(SEARCH("Informational",B134)),IF(ISNUMBER(SEARCH("Commercial",B134)),"Money","Support"),"Money")</f>
        <v>Money</v>
      </c>
    </row>
    <row r="135" customFormat="false" ht="15" hidden="false" customHeight="false" outlineLevel="0" collapsed="false">
      <c r="A135" s="13" t="s">
        <v>493</v>
      </c>
      <c r="B135" s="13" t="s">
        <v>371</v>
      </c>
      <c r="C135" s="16" t="n">
        <v>70</v>
      </c>
      <c r="D135" s="18" t="n">
        <v>5</v>
      </c>
      <c r="E135" s="13" t="s">
        <v>180</v>
      </c>
      <c r="F135" s="13" t="str">
        <f aca="false">INDEX('Page Plan'!$E$2:$E$33,MATCH(E135,'Page Plan'!$A$2:$A$33,0))</f>
        <v>/commercial/coolroom-repair</v>
      </c>
      <c r="G135" s="13" t="str">
        <f aca="false">INDEX('Page Plan'!$G$2:$G$33,MATCH(E135,'Page Plan'!$A$2:$A$33,0))</f>
        <v>Create new</v>
      </c>
      <c r="H135" s="18" t="str">
        <f aca="false">IF(A135=INDEX('Page Plan'!$H$2:$H$33,MATCH(E135,'Page Plan'!$A$2:$A$33,0)),"Primary","Secondary")</f>
        <v>Secondary</v>
      </c>
      <c r="I135" s="13" t="str">
        <f aca="false">IF(ISNUMBER(SEARCH("Informational",B135)),IF(ISNUMBER(SEARCH("Commercial",B135)),"Money","Support"),"Money")</f>
        <v>Money</v>
      </c>
    </row>
    <row r="136" customFormat="false" ht="15" hidden="false" customHeight="false" outlineLevel="0" collapsed="false">
      <c r="A136" s="13" t="s">
        <v>494</v>
      </c>
      <c r="B136" s="13" t="s">
        <v>369</v>
      </c>
      <c r="C136" s="16" t="n">
        <v>50</v>
      </c>
      <c r="D136" s="18" t="n">
        <v>11</v>
      </c>
      <c r="E136" s="13" t="s">
        <v>180</v>
      </c>
      <c r="F136" s="13" t="str">
        <f aca="false">INDEX('Page Plan'!$E$2:$E$33,MATCH(E136,'Page Plan'!$A$2:$A$33,0))</f>
        <v>/commercial/coolroom-repair</v>
      </c>
      <c r="G136" s="13" t="str">
        <f aca="false">INDEX('Page Plan'!$G$2:$G$33,MATCH(E136,'Page Plan'!$A$2:$A$33,0))</f>
        <v>Create new</v>
      </c>
      <c r="H136" s="18" t="str">
        <f aca="false">IF(A136=INDEX('Page Plan'!$H$2:$H$33,MATCH(E136,'Page Plan'!$A$2:$A$33,0)),"Primary","Secondary")</f>
        <v>Secondary</v>
      </c>
      <c r="I136" s="13" t="str">
        <f aca="false">IF(ISNUMBER(SEARCH("Informational",B136)),IF(ISNUMBER(SEARCH("Commercial",B136)),"Money","Support"),"Money")</f>
        <v>Money</v>
      </c>
    </row>
    <row r="137" customFormat="false" ht="15" hidden="false" customHeight="false" outlineLevel="0" collapsed="false">
      <c r="A137" s="13" t="s">
        <v>495</v>
      </c>
      <c r="B137" s="13" t="s">
        <v>371</v>
      </c>
      <c r="C137" s="16" t="n">
        <v>50</v>
      </c>
      <c r="D137" s="18" t="n">
        <v>4</v>
      </c>
      <c r="E137" s="13" t="s">
        <v>180</v>
      </c>
      <c r="F137" s="13" t="str">
        <f aca="false">INDEX('Page Plan'!$E$2:$E$33,MATCH(E137,'Page Plan'!$A$2:$A$33,0))</f>
        <v>/commercial/coolroom-repair</v>
      </c>
      <c r="G137" s="13" t="str">
        <f aca="false">INDEX('Page Plan'!$G$2:$G$33,MATCH(E137,'Page Plan'!$A$2:$A$33,0))</f>
        <v>Create new</v>
      </c>
      <c r="H137" s="18" t="str">
        <f aca="false">IF(A137=INDEX('Page Plan'!$H$2:$H$33,MATCH(E137,'Page Plan'!$A$2:$A$33,0)),"Primary","Secondary")</f>
        <v>Secondary</v>
      </c>
      <c r="I137" s="13" t="str">
        <f aca="false">IF(ISNUMBER(SEARCH("Informational",B137)),IF(ISNUMBER(SEARCH("Commercial",B137)),"Money","Support"),"Money")</f>
        <v>Money</v>
      </c>
    </row>
    <row r="138" customFormat="false" ht="15" hidden="false" customHeight="false" outlineLevel="0" collapsed="false">
      <c r="A138" s="13" t="s">
        <v>496</v>
      </c>
      <c r="B138" s="13" t="s">
        <v>391</v>
      </c>
      <c r="C138" s="16" t="n">
        <v>260</v>
      </c>
      <c r="D138" s="18" t="n">
        <v>17</v>
      </c>
      <c r="E138" s="13" t="s">
        <v>189</v>
      </c>
      <c r="F138" s="13" t="str">
        <f aca="false">INDEX('Page Plan'!$E$2:$E$33,MATCH(E138,'Page Plan'!$A$2:$A$33,0))</f>
        <v>/commercial/ice-machine-repair</v>
      </c>
      <c r="G138" s="13" t="str">
        <f aca="false">INDEX('Page Plan'!$G$2:$G$33,MATCH(E138,'Page Plan'!$A$2:$A$33,0))</f>
        <v>Create new</v>
      </c>
      <c r="H138" s="18" t="str">
        <f aca="false">IF(A138=INDEX('Page Plan'!$H$2:$H$33,MATCH(E138,'Page Plan'!$A$2:$A$33,0)),"Primary","Secondary")</f>
        <v>Secondary</v>
      </c>
      <c r="I138" s="13" t="str">
        <f aca="false">IF(ISNUMBER(SEARCH("Informational",B138)),IF(ISNUMBER(SEARCH("Commercial",B138)),"Money","Support"),"Money")</f>
        <v>Support</v>
      </c>
    </row>
    <row r="139" customFormat="false" ht="15" hidden="false" customHeight="false" outlineLevel="0" collapsed="false">
      <c r="A139" s="13" t="s">
        <v>192</v>
      </c>
      <c r="B139" s="13" t="s">
        <v>371</v>
      </c>
      <c r="C139" s="16" t="n">
        <v>210</v>
      </c>
      <c r="D139" s="18" t="n">
        <v>6</v>
      </c>
      <c r="E139" s="13" t="s">
        <v>189</v>
      </c>
      <c r="F139" s="13" t="str">
        <f aca="false">INDEX('Page Plan'!$E$2:$E$33,MATCH(E139,'Page Plan'!$A$2:$A$33,0))</f>
        <v>/commercial/ice-machine-repair</v>
      </c>
      <c r="G139" s="13" t="str">
        <f aca="false">INDEX('Page Plan'!$G$2:$G$33,MATCH(E139,'Page Plan'!$A$2:$A$33,0))</f>
        <v>Create new</v>
      </c>
      <c r="H139" s="18" t="str">
        <f aca="false">IF(A139=INDEX('Page Plan'!$H$2:$H$33,MATCH(E139,'Page Plan'!$A$2:$A$33,0)),"Primary","Secondary")</f>
        <v>Primary</v>
      </c>
      <c r="I139" s="13" t="str">
        <f aca="false">IF(ISNUMBER(SEARCH("Informational",B139)),IF(ISNUMBER(SEARCH("Commercial",B139)),"Money","Support"),"Money")</f>
        <v>Money</v>
      </c>
    </row>
    <row r="140" customFormat="false" ht="15" hidden="false" customHeight="false" outlineLevel="0" collapsed="false">
      <c r="A140" s="13" t="s">
        <v>497</v>
      </c>
      <c r="B140" s="13" t="s">
        <v>371</v>
      </c>
      <c r="C140" s="16" t="n">
        <v>140</v>
      </c>
      <c r="D140" s="18" t="n">
        <v>9</v>
      </c>
      <c r="E140" s="13" t="s">
        <v>189</v>
      </c>
      <c r="F140" s="13" t="str">
        <f aca="false">INDEX('Page Plan'!$E$2:$E$33,MATCH(E140,'Page Plan'!$A$2:$A$33,0))</f>
        <v>/commercial/ice-machine-repair</v>
      </c>
      <c r="G140" s="13" t="str">
        <f aca="false">INDEX('Page Plan'!$G$2:$G$33,MATCH(E140,'Page Plan'!$A$2:$A$33,0))</f>
        <v>Create new</v>
      </c>
      <c r="H140" s="18" t="str">
        <f aca="false">IF(A140=INDEX('Page Plan'!$H$2:$H$33,MATCH(E140,'Page Plan'!$A$2:$A$33,0)),"Primary","Secondary")</f>
        <v>Secondary</v>
      </c>
      <c r="I140" s="13" t="str">
        <f aca="false">IF(ISNUMBER(SEARCH("Informational",B140)),IF(ISNUMBER(SEARCH("Commercial",B140)),"Money","Support"),"Money")</f>
        <v>Money</v>
      </c>
    </row>
    <row r="141" customFormat="false" ht="15" hidden="false" customHeight="false" outlineLevel="0" collapsed="false">
      <c r="A141" s="13" t="s">
        <v>498</v>
      </c>
      <c r="B141" s="13" t="s">
        <v>391</v>
      </c>
      <c r="C141" s="16" t="n">
        <v>140</v>
      </c>
      <c r="D141" s="18" t="n">
        <v>5</v>
      </c>
      <c r="E141" s="13" t="s">
        <v>189</v>
      </c>
      <c r="F141" s="13" t="str">
        <f aca="false">INDEX('Page Plan'!$E$2:$E$33,MATCH(E141,'Page Plan'!$A$2:$A$33,0))</f>
        <v>/commercial/ice-machine-repair</v>
      </c>
      <c r="G141" s="13" t="str">
        <f aca="false">INDEX('Page Plan'!$G$2:$G$33,MATCH(E141,'Page Plan'!$A$2:$A$33,0))</f>
        <v>Create new</v>
      </c>
      <c r="H141" s="18" t="str">
        <f aca="false">IF(A141=INDEX('Page Plan'!$H$2:$H$33,MATCH(E141,'Page Plan'!$A$2:$A$33,0)),"Primary","Secondary")</f>
        <v>Secondary</v>
      </c>
      <c r="I141" s="13" t="str">
        <f aca="false">IF(ISNUMBER(SEARCH("Informational",B141)),IF(ISNUMBER(SEARCH("Commercial",B141)),"Money","Support"),"Money")</f>
        <v>Support</v>
      </c>
    </row>
    <row r="142" customFormat="false" ht="15" hidden="false" customHeight="false" outlineLevel="0" collapsed="false">
      <c r="A142" s="13" t="s">
        <v>499</v>
      </c>
      <c r="B142" s="13" t="s">
        <v>371</v>
      </c>
      <c r="C142" s="16" t="n">
        <v>110</v>
      </c>
      <c r="D142" s="18" t="n">
        <v>6</v>
      </c>
      <c r="E142" s="13" t="s">
        <v>189</v>
      </c>
      <c r="F142" s="13" t="str">
        <f aca="false">INDEX('Page Plan'!$E$2:$E$33,MATCH(E142,'Page Plan'!$A$2:$A$33,0))</f>
        <v>/commercial/ice-machine-repair</v>
      </c>
      <c r="G142" s="13" t="str">
        <f aca="false">INDEX('Page Plan'!$G$2:$G$33,MATCH(E142,'Page Plan'!$A$2:$A$33,0))</f>
        <v>Create new</v>
      </c>
      <c r="H142" s="18" t="str">
        <f aca="false">IF(A142=INDEX('Page Plan'!$H$2:$H$33,MATCH(E142,'Page Plan'!$A$2:$A$33,0)),"Primary","Secondary")</f>
        <v>Secondary</v>
      </c>
      <c r="I142" s="13" t="str">
        <f aca="false">IF(ISNUMBER(SEARCH("Informational",B142)),IF(ISNUMBER(SEARCH("Commercial",B142)),"Money","Support"),"Money")</f>
        <v>Money</v>
      </c>
    </row>
    <row r="143" customFormat="false" ht="15" hidden="false" customHeight="false" outlineLevel="0" collapsed="false">
      <c r="A143" s="13" t="s">
        <v>500</v>
      </c>
      <c r="B143" s="13" t="s">
        <v>371</v>
      </c>
      <c r="C143" s="16" t="n">
        <v>90</v>
      </c>
      <c r="D143" s="18" t="n">
        <v>4</v>
      </c>
      <c r="E143" s="13" t="s">
        <v>189</v>
      </c>
      <c r="F143" s="13" t="str">
        <f aca="false">INDEX('Page Plan'!$E$2:$E$33,MATCH(E143,'Page Plan'!$A$2:$A$33,0))</f>
        <v>/commercial/ice-machine-repair</v>
      </c>
      <c r="G143" s="13" t="str">
        <f aca="false">INDEX('Page Plan'!$G$2:$G$33,MATCH(E143,'Page Plan'!$A$2:$A$33,0))</f>
        <v>Create new</v>
      </c>
      <c r="H143" s="18" t="str">
        <f aca="false">IF(A143=INDEX('Page Plan'!$H$2:$H$33,MATCH(E143,'Page Plan'!$A$2:$A$33,0)),"Primary","Secondary")</f>
        <v>Secondary</v>
      </c>
      <c r="I143" s="13" t="str">
        <f aca="false">IF(ISNUMBER(SEARCH("Informational",B143)),IF(ISNUMBER(SEARCH("Commercial",B143)),"Money","Support"),"Money")</f>
        <v>Money</v>
      </c>
    </row>
    <row r="144" customFormat="false" ht="15" hidden="false" customHeight="false" outlineLevel="0" collapsed="false">
      <c r="A144" s="13" t="s">
        <v>501</v>
      </c>
      <c r="B144" s="13" t="s">
        <v>391</v>
      </c>
      <c r="C144" s="16" t="n">
        <v>90</v>
      </c>
      <c r="D144" s="18" t="n">
        <v>6</v>
      </c>
      <c r="E144" s="13" t="s">
        <v>189</v>
      </c>
      <c r="F144" s="13" t="str">
        <f aca="false">INDEX('Page Plan'!$E$2:$E$33,MATCH(E144,'Page Plan'!$A$2:$A$33,0))</f>
        <v>/commercial/ice-machine-repair</v>
      </c>
      <c r="G144" s="13" t="str">
        <f aca="false">INDEX('Page Plan'!$G$2:$G$33,MATCH(E144,'Page Plan'!$A$2:$A$33,0))</f>
        <v>Create new</v>
      </c>
      <c r="H144" s="18" t="str">
        <f aca="false">IF(A144=INDEX('Page Plan'!$H$2:$H$33,MATCH(E144,'Page Plan'!$A$2:$A$33,0)),"Primary","Secondary")</f>
        <v>Secondary</v>
      </c>
      <c r="I144" s="13" t="str">
        <f aca="false">IF(ISNUMBER(SEARCH("Informational",B144)),IF(ISNUMBER(SEARCH("Commercial",B144)),"Money","Support"),"Money")</f>
        <v>Support</v>
      </c>
    </row>
    <row r="145" customFormat="false" ht="15" hidden="false" customHeight="false" outlineLevel="0" collapsed="false">
      <c r="A145" s="13" t="s">
        <v>502</v>
      </c>
      <c r="B145" s="13" t="s">
        <v>391</v>
      </c>
      <c r="C145" s="16" t="n">
        <v>90</v>
      </c>
      <c r="D145" s="18" t="n">
        <v>5</v>
      </c>
      <c r="E145" s="13" t="s">
        <v>189</v>
      </c>
      <c r="F145" s="13" t="str">
        <f aca="false">INDEX('Page Plan'!$E$2:$E$33,MATCH(E145,'Page Plan'!$A$2:$A$33,0))</f>
        <v>/commercial/ice-machine-repair</v>
      </c>
      <c r="G145" s="13" t="str">
        <f aca="false">INDEX('Page Plan'!$G$2:$G$33,MATCH(E145,'Page Plan'!$A$2:$A$33,0))</f>
        <v>Create new</v>
      </c>
      <c r="H145" s="18" t="str">
        <f aca="false">IF(A145=INDEX('Page Plan'!$H$2:$H$33,MATCH(E145,'Page Plan'!$A$2:$A$33,0)),"Primary","Secondary")</f>
        <v>Secondary</v>
      </c>
      <c r="I145" s="13" t="str">
        <f aca="false">IF(ISNUMBER(SEARCH("Informational",B145)),IF(ISNUMBER(SEARCH("Commercial",B145)),"Money","Support"),"Money")</f>
        <v>Support</v>
      </c>
    </row>
    <row r="146" customFormat="false" ht="15" hidden="false" customHeight="false" outlineLevel="0" collapsed="false">
      <c r="A146" s="13" t="s">
        <v>503</v>
      </c>
      <c r="B146" s="13" t="s">
        <v>369</v>
      </c>
      <c r="C146" s="16" t="n">
        <v>90</v>
      </c>
      <c r="D146" s="18" t="n">
        <v>5</v>
      </c>
      <c r="E146" s="13" t="s">
        <v>189</v>
      </c>
      <c r="F146" s="13" t="str">
        <f aca="false">INDEX('Page Plan'!$E$2:$E$33,MATCH(E146,'Page Plan'!$A$2:$A$33,0))</f>
        <v>/commercial/ice-machine-repair</v>
      </c>
      <c r="G146" s="13" t="str">
        <f aca="false">INDEX('Page Plan'!$G$2:$G$33,MATCH(E146,'Page Plan'!$A$2:$A$33,0))</f>
        <v>Create new</v>
      </c>
      <c r="H146" s="18" t="str">
        <f aca="false">IF(A146=INDEX('Page Plan'!$H$2:$H$33,MATCH(E146,'Page Plan'!$A$2:$A$33,0)),"Primary","Secondary")</f>
        <v>Secondary</v>
      </c>
      <c r="I146" s="13" t="str">
        <f aca="false">IF(ISNUMBER(SEARCH("Informational",B146)),IF(ISNUMBER(SEARCH("Commercial",B146)),"Money","Support"),"Money")</f>
        <v>Money</v>
      </c>
    </row>
    <row r="147" customFormat="false" ht="15" hidden="false" customHeight="false" outlineLevel="0" collapsed="false">
      <c r="A147" s="13" t="s">
        <v>504</v>
      </c>
      <c r="B147" s="13" t="s">
        <v>391</v>
      </c>
      <c r="C147" s="16" t="n">
        <v>70</v>
      </c>
      <c r="D147" s="18" t="n">
        <v>7</v>
      </c>
      <c r="E147" s="13" t="s">
        <v>189</v>
      </c>
      <c r="F147" s="13" t="str">
        <f aca="false">INDEX('Page Plan'!$E$2:$E$33,MATCH(E147,'Page Plan'!$A$2:$A$33,0))</f>
        <v>/commercial/ice-machine-repair</v>
      </c>
      <c r="G147" s="13" t="str">
        <f aca="false">INDEX('Page Plan'!$G$2:$G$33,MATCH(E147,'Page Plan'!$A$2:$A$33,0))</f>
        <v>Create new</v>
      </c>
      <c r="H147" s="18" t="str">
        <f aca="false">IF(A147=INDEX('Page Plan'!$H$2:$H$33,MATCH(E147,'Page Plan'!$A$2:$A$33,0)),"Primary","Secondary")</f>
        <v>Secondary</v>
      </c>
      <c r="I147" s="13" t="str">
        <f aca="false">IF(ISNUMBER(SEARCH("Informational",B147)),IF(ISNUMBER(SEARCH("Commercial",B147)),"Money","Support"),"Money")</f>
        <v>Support</v>
      </c>
    </row>
    <row r="148" customFormat="false" ht="15" hidden="false" customHeight="false" outlineLevel="0" collapsed="false">
      <c r="A148" s="13" t="s">
        <v>505</v>
      </c>
      <c r="B148" s="13" t="s">
        <v>391</v>
      </c>
      <c r="C148" s="16" t="n">
        <v>70</v>
      </c>
      <c r="D148" s="18" t="n">
        <v>4</v>
      </c>
      <c r="E148" s="13" t="s">
        <v>189</v>
      </c>
      <c r="F148" s="13" t="str">
        <f aca="false">INDEX('Page Plan'!$E$2:$E$33,MATCH(E148,'Page Plan'!$A$2:$A$33,0))</f>
        <v>/commercial/ice-machine-repair</v>
      </c>
      <c r="G148" s="13" t="str">
        <f aca="false">INDEX('Page Plan'!$G$2:$G$33,MATCH(E148,'Page Plan'!$A$2:$A$33,0))</f>
        <v>Create new</v>
      </c>
      <c r="H148" s="18" t="str">
        <f aca="false">IF(A148=INDEX('Page Plan'!$H$2:$H$33,MATCH(E148,'Page Plan'!$A$2:$A$33,0)),"Primary","Secondary")</f>
        <v>Secondary</v>
      </c>
      <c r="I148" s="13" t="str">
        <f aca="false">IF(ISNUMBER(SEARCH("Informational",B148)),IF(ISNUMBER(SEARCH("Commercial",B148)),"Money","Support"),"Money")</f>
        <v>Support</v>
      </c>
    </row>
    <row r="149" customFormat="false" ht="15" hidden="false" customHeight="false" outlineLevel="0" collapsed="false">
      <c r="A149" s="13" t="s">
        <v>506</v>
      </c>
      <c r="B149" s="13" t="s">
        <v>369</v>
      </c>
      <c r="C149" s="16" t="n">
        <v>70</v>
      </c>
      <c r="D149" s="18" t="n">
        <v>3</v>
      </c>
      <c r="E149" s="13" t="s">
        <v>189</v>
      </c>
      <c r="F149" s="13" t="str">
        <f aca="false">INDEX('Page Plan'!$E$2:$E$33,MATCH(E149,'Page Plan'!$A$2:$A$33,0))</f>
        <v>/commercial/ice-machine-repair</v>
      </c>
      <c r="G149" s="13" t="str">
        <f aca="false">INDEX('Page Plan'!$G$2:$G$33,MATCH(E149,'Page Plan'!$A$2:$A$33,0))</f>
        <v>Create new</v>
      </c>
      <c r="H149" s="18" t="str">
        <f aca="false">IF(A149=INDEX('Page Plan'!$H$2:$H$33,MATCH(E149,'Page Plan'!$A$2:$A$33,0)),"Primary","Secondary")</f>
        <v>Secondary</v>
      </c>
      <c r="I149" s="13" t="str">
        <f aca="false">IF(ISNUMBER(SEARCH("Informational",B149)),IF(ISNUMBER(SEARCH("Commercial",B149)),"Money","Support"),"Money")</f>
        <v>Money</v>
      </c>
    </row>
    <row r="150" customFormat="false" ht="15" hidden="false" customHeight="false" outlineLevel="0" collapsed="false">
      <c r="A150" s="13" t="s">
        <v>507</v>
      </c>
      <c r="B150" s="13" t="s">
        <v>391</v>
      </c>
      <c r="C150" s="16" t="n">
        <v>1300</v>
      </c>
      <c r="D150" s="18" t="n">
        <v>17</v>
      </c>
      <c r="E150" s="13" t="s">
        <v>198</v>
      </c>
      <c r="F150" s="13" t="str">
        <f aca="false">INDEX('Page Plan'!$E$2:$E$33,MATCH(E150,'Page Plan'!$A$2:$A$33,0))</f>
        <v>/services/fridge-door-seal-replacement</v>
      </c>
      <c r="G150" s="13" t="str">
        <f aca="false">INDEX('Page Plan'!$G$2:$G$33,MATCH(E150,'Page Plan'!$A$2:$A$33,0))</f>
        <v>Create new</v>
      </c>
      <c r="H150" s="18" t="str">
        <f aca="false">IF(A150=INDEX('Page Plan'!$H$2:$H$33,MATCH(E150,'Page Plan'!$A$2:$A$33,0)),"Primary","Secondary")</f>
        <v>Secondary</v>
      </c>
      <c r="I150" s="13" t="str">
        <f aca="false">IF(ISNUMBER(SEARCH("Informational",B150)),IF(ISNUMBER(SEARCH("Commercial",B150)),"Money","Support"),"Money")</f>
        <v>Support</v>
      </c>
    </row>
    <row r="151" customFormat="false" ht="15" hidden="false" customHeight="false" outlineLevel="0" collapsed="false">
      <c r="A151" s="13" t="s">
        <v>508</v>
      </c>
      <c r="B151" s="13" t="s">
        <v>391</v>
      </c>
      <c r="C151" s="16" t="n">
        <v>1300</v>
      </c>
      <c r="D151" s="18" t="n">
        <v>9</v>
      </c>
      <c r="E151" s="13" t="s">
        <v>198</v>
      </c>
      <c r="F151" s="13" t="str">
        <f aca="false">INDEX('Page Plan'!$E$2:$E$33,MATCH(E151,'Page Plan'!$A$2:$A$33,0))</f>
        <v>/services/fridge-door-seal-replacement</v>
      </c>
      <c r="G151" s="13" t="str">
        <f aca="false">INDEX('Page Plan'!$G$2:$G$33,MATCH(E151,'Page Plan'!$A$2:$A$33,0))</f>
        <v>Create new</v>
      </c>
      <c r="H151" s="18" t="str">
        <f aca="false">IF(A151=INDEX('Page Plan'!$H$2:$H$33,MATCH(E151,'Page Plan'!$A$2:$A$33,0)),"Primary","Secondary")</f>
        <v>Secondary</v>
      </c>
      <c r="I151" s="13" t="str">
        <f aca="false">IF(ISNUMBER(SEARCH("Informational",B151)),IF(ISNUMBER(SEARCH("Commercial",B151)),"Money","Support"),"Money")</f>
        <v>Support</v>
      </c>
    </row>
    <row r="152" customFormat="false" ht="15" hidden="false" customHeight="false" outlineLevel="0" collapsed="false">
      <c r="A152" s="13" t="s">
        <v>509</v>
      </c>
      <c r="B152" s="13" t="s">
        <v>440</v>
      </c>
      <c r="C152" s="16" t="n">
        <v>1000</v>
      </c>
      <c r="D152" s="18" t="n">
        <v>10</v>
      </c>
      <c r="E152" s="13" t="s">
        <v>198</v>
      </c>
      <c r="F152" s="13" t="str">
        <f aca="false">INDEX('Page Plan'!$E$2:$E$33,MATCH(E152,'Page Plan'!$A$2:$A$33,0))</f>
        <v>/services/fridge-door-seal-replacement</v>
      </c>
      <c r="G152" s="13" t="str">
        <f aca="false">INDEX('Page Plan'!$G$2:$G$33,MATCH(E152,'Page Plan'!$A$2:$A$33,0))</f>
        <v>Create new</v>
      </c>
      <c r="H152" s="18" t="str">
        <f aca="false">IF(A152=INDEX('Page Plan'!$H$2:$H$33,MATCH(E152,'Page Plan'!$A$2:$A$33,0)),"Primary","Secondary")</f>
        <v>Secondary</v>
      </c>
      <c r="I152" s="13" t="str">
        <f aca="false">IF(ISNUMBER(SEARCH("Informational",B152)),IF(ISNUMBER(SEARCH("Commercial",B152)),"Money","Support"),"Money")</f>
        <v>Money</v>
      </c>
    </row>
    <row r="153" customFormat="false" ht="15" hidden="false" customHeight="false" outlineLevel="0" collapsed="false">
      <c r="A153" s="13" t="s">
        <v>510</v>
      </c>
      <c r="B153" s="13" t="s">
        <v>440</v>
      </c>
      <c r="C153" s="16" t="n">
        <v>880</v>
      </c>
      <c r="D153" s="18" t="n">
        <v>6</v>
      </c>
      <c r="E153" s="13" t="s">
        <v>198</v>
      </c>
      <c r="F153" s="13" t="str">
        <f aca="false">INDEX('Page Plan'!$E$2:$E$33,MATCH(E153,'Page Plan'!$A$2:$A$33,0))</f>
        <v>/services/fridge-door-seal-replacement</v>
      </c>
      <c r="G153" s="13" t="str">
        <f aca="false">INDEX('Page Plan'!$G$2:$G$33,MATCH(E153,'Page Plan'!$A$2:$A$33,0))</f>
        <v>Create new</v>
      </c>
      <c r="H153" s="18" t="str">
        <f aca="false">IF(A153=INDEX('Page Plan'!$H$2:$H$33,MATCH(E153,'Page Plan'!$A$2:$A$33,0)),"Primary","Secondary")</f>
        <v>Secondary</v>
      </c>
      <c r="I153" s="13" t="str">
        <f aca="false">IF(ISNUMBER(SEARCH("Informational",B153)),IF(ISNUMBER(SEARCH("Commercial",B153)),"Money","Support"),"Money")</f>
        <v>Money</v>
      </c>
    </row>
    <row r="154" customFormat="false" ht="15" hidden="false" customHeight="false" outlineLevel="0" collapsed="false">
      <c r="A154" s="13" t="s">
        <v>201</v>
      </c>
      <c r="B154" s="13" t="s">
        <v>440</v>
      </c>
      <c r="C154" s="16" t="n">
        <v>590</v>
      </c>
      <c r="D154" s="18" t="n">
        <v>10</v>
      </c>
      <c r="E154" s="13" t="s">
        <v>198</v>
      </c>
      <c r="F154" s="13" t="str">
        <f aca="false">INDEX('Page Plan'!$E$2:$E$33,MATCH(E154,'Page Plan'!$A$2:$A$33,0))</f>
        <v>/services/fridge-door-seal-replacement</v>
      </c>
      <c r="G154" s="13" t="str">
        <f aca="false">INDEX('Page Plan'!$G$2:$G$33,MATCH(E154,'Page Plan'!$A$2:$A$33,0))</f>
        <v>Create new</v>
      </c>
      <c r="H154" s="18" t="str">
        <f aca="false">IF(A154=INDEX('Page Plan'!$H$2:$H$33,MATCH(E154,'Page Plan'!$A$2:$A$33,0)),"Primary","Secondary")</f>
        <v>Primary</v>
      </c>
      <c r="I154" s="13" t="str">
        <f aca="false">IF(ISNUMBER(SEARCH("Informational",B154)),IF(ISNUMBER(SEARCH("Commercial",B154)),"Money","Support"),"Money")</f>
        <v>Money</v>
      </c>
    </row>
    <row r="155" customFormat="false" ht="15" hidden="false" customHeight="false" outlineLevel="0" collapsed="false">
      <c r="A155" s="13" t="s">
        <v>511</v>
      </c>
      <c r="B155" s="13" t="s">
        <v>371</v>
      </c>
      <c r="C155" s="16" t="n">
        <v>480</v>
      </c>
      <c r="D155" s="18" t="n">
        <v>13</v>
      </c>
      <c r="E155" s="13" t="s">
        <v>198</v>
      </c>
      <c r="F155" s="13" t="str">
        <f aca="false">INDEX('Page Plan'!$E$2:$E$33,MATCH(E155,'Page Plan'!$A$2:$A$33,0))</f>
        <v>/services/fridge-door-seal-replacement</v>
      </c>
      <c r="G155" s="13" t="str">
        <f aca="false">INDEX('Page Plan'!$G$2:$G$33,MATCH(E155,'Page Plan'!$A$2:$A$33,0))</f>
        <v>Create new</v>
      </c>
      <c r="H155" s="18" t="str">
        <f aca="false">IF(A155=INDEX('Page Plan'!$H$2:$H$33,MATCH(E155,'Page Plan'!$A$2:$A$33,0)),"Primary","Secondary")</f>
        <v>Secondary</v>
      </c>
      <c r="I155" s="13" t="str">
        <f aca="false">IF(ISNUMBER(SEARCH("Informational",B155)),IF(ISNUMBER(SEARCH("Commercial",B155)),"Money","Support"),"Money")</f>
        <v>Money</v>
      </c>
    </row>
    <row r="156" customFormat="false" ht="15" hidden="false" customHeight="false" outlineLevel="0" collapsed="false">
      <c r="A156" s="13" t="s">
        <v>512</v>
      </c>
      <c r="B156" s="13" t="s">
        <v>371</v>
      </c>
      <c r="C156" s="16" t="n">
        <v>390</v>
      </c>
      <c r="D156" s="18" t="n">
        <v>8</v>
      </c>
      <c r="E156" s="13" t="s">
        <v>198</v>
      </c>
      <c r="F156" s="13" t="str">
        <f aca="false">INDEX('Page Plan'!$E$2:$E$33,MATCH(E156,'Page Plan'!$A$2:$A$33,0))</f>
        <v>/services/fridge-door-seal-replacement</v>
      </c>
      <c r="G156" s="13" t="str">
        <f aca="false">INDEX('Page Plan'!$G$2:$G$33,MATCH(E156,'Page Plan'!$A$2:$A$33,0))</f>
        <v>Create new</v>
      </c>
      <c r="H156" s="18" t="str">
        <f aca="false">IF(A156=INDEX('Page Plan'!$H$2:$H$33,MATCH(E156,'Page Plan'!$A$2:$A$33,0)),"Primary","Secondary")</f>
        <v>Secondary</v>
      </c>
      <c r="I156" s="13" t="str">
        <f aca="false">IF(ISNUMBER(SEARCH("Informational",B156)),IF(ISNUMBER(SEARCH("Commercial",B156)),"Money","Support"),"Money")</f>
        <v>Money</v>
      </c>
    </row>
    <row r="157" customFormat="false" ht="15" hidden="false" customHeight="false" outlineLevel="0" collapsed="false">
      <c r="A157" s="13" t="s">
        <v>513</v>
      </c>
      <c r="B157" s="13" t="s">
        <v>440</v>
      </c>
      <c r="C157" s="16" t="n">
        <v>320</v>
      </c>
      <c r="D157" s="18" t="n">
        <v>15</v>
      </c>
      <c r="E157" s="13" t="s">
        <v>198</v>
      </c>
      <c r="F157" s="13" t="str">
        <f aca="false">INDEX('Page Plan'!$E$2:$E$33,MATCH(E157,'Page Plan'!$A$2:$A$33,0))</f>
        <v>/services/fridge-door-seal-replacement</v>
      </c>
      <c r="G157" s="13" t="str">
        <f aca="false">INDEX('Page Plan'!$G$2:$G$33,MATCH(E157,'Page Plan'!$A$2:$A$33,0))</f>
        <v>Create new</v>
      </c>
      <c r="H157" s="18" t="str">
        <f aca="false">IF(A157=INDEX('Page Plan'!$H$2:$H$33,MATCH(E157,'Page Plan'!$A$2:$A$33,0)),"Primary","Secondary")</f>
        <v>Secondary</v>
      </c>
      <c r="I157" s="13" t="str">
        <f aca="false">IF(ISNUMBER(SEARCH("Informational",B157)),IF(ISNUMBER(SEARCH("Commercial",B157)),"Money","Support"),"Money")</f>
        <v>Money</v>
      </c>
    </row>
    <row r="158" customFormat="false" ht="15" hidden="false" customHeight="false" outlineLevel="0" collapsed="false">
      <c r="A158" s="13" t="s">
        <v>514</v>
      </c>
      <c r="B158" s="13" t="s">
        <v>440</v>
      </c>
      <c r="C158" s="16" t="n">
        <v>260</v>
      </c>
      <c r="D158" s="18" t="n">
        <v>11</v>
      </c>
      <c r="E158" s="13" t="s">
        <v>198</v>
      </c>
      <c r="F158" s="13" t="str">
        <f aca="false">INDEX('Page Plan'!$E$2:$E$33,MATCH(E158,'Page Plan'!$A$2:$A$33,0))</f>
        <v>/services/fridge-door-seal-replacement</v>
      </c>
      <c r="G158" s="13" t="str">
        <f aca="false">INDEX('Page Plan'!$G$2:$G$33,MATCH(E158,'Page Plan'!$A$2:$A$33,0))</f>
        <v>Create new</v>
      </c>
      <c r="H158" s="18" t="str">
        <f aca="false">IF(A158=INDEX('Page Plan'!$H$2:$H$33,MATCH(E158,'Page Plan'!$A$2:$A$33,0)),"Primary","Secondary")</f>
        <v>Secondary</v>
      </c>
      <c r="I158" s="13" t="str">
        <f aca="false">IF(ISNUMBER(SEARCH("Informational",B158)),IF(ISNUMBER(SEARCH("Commercial",B158)),"Money","Support"),"Money")</f>
        <v>Money</v>
      </c>
    </row>
    <row r="159" customFormat="false" ht="15" hidden="false" customHeight="false" outlineLevel="0" collapsed="false">
      <c r="A159" s="13" t="s">
        <v>515</v>
      </c>
      <c r="B159" s="13" t="s">
        <v>440</v>
      </c>
      <c r="C159" s="16" t="n">
        <v>260</v>
      </c>
      <c r="D159" s="18" t="n">
        <v>10</v>
      </c>
      <c r="E159" s="13" t="s">
        <v>198</v>
      </c>
      <c r="F159" s="13" t="str">
        <f aca="false">INDEX('Page Plan'!$E$2:$E$33,MATCH(E159,'Page Plan'!$A$2:$A$33,0))</f>
        <v>/services/fridge-door-seal-replacement</v>
      </c>
      <c r="G159" s="13" t="str">
        <f aca="false">INDEX('Page Plan'!$G$2:$G$33,MATCH(E159,'Page Plan'!$A$2:$A$33,0))</f>
        <v>Create new</v>
      </c>
      <c r="H159" s="18" t="str">
        <f aca="false">IF(A159=INDEX('Page Plan'!$H$2:$H$33,MATCH(E159,'Page Plan'!$A$2:$A$33,0)),"Primary","Secondary")</f>
        <v>Secondary</v>
      </c>
      <c r="I159" s="13" t="str">
        <f aca="false">IF(ISNUMBER(SEARCH("Informational",B159)),IF(ISNUMBER(SEARCH("Commercial",B159)),"Money","Support"),"Money")</f>
        <v>Money</v>
      </c>
    </row>
    <row r="160" customFormat="false" ht="15" hidden="false" customHeight="false" outlineLevel="0" collapsed="false">
      <c r="A160" s="13" t="s">
        <v>516</v>
      </c>
      <c r="B160" s="13" t="s">
        <v>371</v>
      </c>
      <c r="C160" s="16" t="n">
        <v>260</v>
      </c>
      <c r="D160" s="18" t="n">
        <v>12</v>
      </c>
      <c r="E160" s="13" t="s">
        <v>198</v>
      </c>
      <c r="F160" s="13" t="str">
        <f aca="false">INDEX('Page Plan'!$E$2:$E$33,MATCH(E160,'Page Plan'!$A$2:$A$33,0))</f>
        <v>/services/fridge-door-seal-replacement</v>
      </c>
      <c r="G160" s="13" t="str">
        <f aca="false">INDEX('Page Plan'!$G$2:$G$33,MATCH(E160,'Page Plan'!$A$2:$A$33,0))</f>
        <v>Create new</v>
      </c>
      <c r="H160" s="18" t="str">
        <f aca="false">IF(A160=INDEX('Page Plan'!$H$2:$H$33,MATCH(E160,'Page Plan'!$A$2:$A$33,0)),"Primary","Secondary")</f>
        <v>Secondary</v>
      </c>
      <c r="I160" s="13" t="str">
        <f aca="false">IF(ISNUMBER(SEARCH("Informational",B160)),IF(ISNUMBER(SEARCH("Commercial",B160)),"Money","Support"),"Money")</f>
        <v>Money</v>
      </c>
    </row>
    <row r="161" customFormat="false" ht="15" hidden="false" customHeight="false" outlineLevel="0" collapsed="false">
      <c r="A161" s="13" t="s">
        <v>517</v>
      </c>
      <c r="B161" s="13" t="s">
        <v>371</v>
      </c>
      <c r="C161" s="16" t="n">
        <v>210</v>
      </c>
      <c r="D161" s="18" t="n">
        <v>4</v>
      </c>
      <c r="E161" s="13" t="s">
        <v>198</v>
      </c>
      <c r="F161" s="13" t="str">
        <f aca="false">INDEX('Page Plan'!$E$2:$E$33,MATCH(E161,'Page Plan'!$A$2:$A$33,0))</f>
        <v>/services/fridge-door-seal-replacement</v>
      </c>
      <c r="G161" s="13" t="str">
        <f aca="false">INDEX('Page Plan'!$G$2:$G$33,MATCH(E161,'Page Plan'!$A$2:$A$33,0))</f>
        <v>Create new</v>
      </c>
      <c r="H161" s="18" t="str">
        <f aca="false">IF(A161=INDEX('Page Plan'!$H$2:$H$33,MATCH(E161,'Page Plan'!$A$2:$A$33,0)),"Primary","Secondary")</f>
        <v>Secondary</v>
      </c>
      <c r="I161" s="13" t="str">
        <f aca="false">IF(ISNUMBER(SEARCH("Informational",B161)),IF(ISNUMBER(SEARCH("Commercial",B161)),"Money","Support"),"Money")</f>
        <v>Money</v>
      </c>
    </row>
    <row r="162" customFormat="false" ht="15" hidden="false" customHeight="false" outlineLevel="0" collapsed="false">
      <c r="A162" s="13" t="s">
        <v>518</v>
      </c>
      <c r="B162" s="13" t="s">
        <v>440</v>
      </c>
      <c r="C162" s="16" t="n">
        <v>210</v>
      </c>
      <c r="D162" s="18" t="n">
        <v>11</v>
      </c>
      <c r="E162" s="13" t="s">
        <v>198</v>
      </c>
      <c r="F162" s="13" t="str">
        <f aca="false">INDEX('Page Plan'!$E$2:$E$33,MATCH(E162,'Page Plan'!$A$2:$A$33,0))</f>
        <v>/services/fridge-door-seal-replacement</v>
      </c>
      <c r="G162" s="13" t="str">
        <f aca="false">INDEX('Page Plan'!$G$2:$G$33,MATCH(E162,'Page Plan'!$A$2:$A$33,0))</f>
        <v>Create new</v>
      </c>
      <c r="H162" s="18" t="str">
        <f aca="false">IF(A162=INDEX('Page Plan'!$H$2:$H$33,MATCH(E162,'Page Plan'!$A$2:$A$33,0)),"Primary","Secondary")</f>
        <v>Secondary</v>
      </c>
      <c r="I162" s="13" t="str">
        <f aca="false">IF(ISNUMBER(SEARCH("Informational",B162)),IF(ISNUMBER(SEARCH("Commercial",B162)),"Money","Support"),"Money")</f>
        <v>Money</v>
      </c>
    </row>
    <row r="163" customFormat="false" ht="15" hidden="false" customHeight="false" outlineLevel="0" collapsed="false">
      <c r="A163" s="13" t="s">
        <v>519</v>
      </c>
      <c r="B163" s="13" t="s">
        <v>391</v>
      </c>
      <c r="C163" s="16" t="n">
        <v>210</v>
      </c>
      <c r="D163" s="18" t="n">
        <v>11</v>
      </c>
      <c r="E163" s="13" t="s">
        <v>198</v>
      </c>
      <c r="F163" s="13" t="str">
        <f aca="false">INDEX('Page Plan'!$E$2:$E$33,MATCH(E163,'Page Plan'!$A$2:$A$33,0))</f>
        <v>/services/fridge-door-seal-replacement</v>
      </c>
      <c r="G163" s="13" t="str">
        <f aca="false">INDEX('Page Plan'!$G$2:$G$33,MATCH(E163,'Page Plan'!$A$2:$A$33,0))</f>
        <v>Create new</v>
      </c>
      <c r="H163" s="18" t="str">
        <f aca="false">IF(A163=INDEX('Page Plan'!$H$2:$H$33,MATCH(E163,'Page Plan'!$A$2:$A$33,0)),"Primary","Secondary")</f>
        <v>Secondary</v>
      </c>
      <c r="I163" s="13" t="str">
        <f aca="false">IF(ISNUMBER(SEARCH("Informational",B163)),IF(ISNUMBER(SEARCH("Commercial",B163)),"Money","Support"),"Money")</f>
        <v>Support</v>
      </c>
    </row>
    <row r="164" customFormat="false" ht="15" hidden="false" customHeight="false" outlineLevel="0" collapsed="false">
      <c r="A164" s="13" t="s">
        <v>520</v>
      </c>
      <c r="B164" s="13" t="s">
        <v>391</v>
      </c>
      <c r="C164" s="16" t="n">
        <v>210</v>
      </c>
      <c r="D164" s="18" t="n">
        <v>11</v>
      </c>
      <c r="E164" s="13" t="s">
        <v>198</v>
      </c>
      <c r="F164" s="13" t="str">
        <f aca="false">INDEX('Page Plan'!$E$2:$E$33,MATCH(E164,'Page Plan'!$A$2:$A$33,0))</f>
        <v>/services/fridge-door-seal-replacement</v>
      </c>
      <c r="G164" s="13" t="str">
        <f aca="false">INDEX('Page Plan'!$G$2:$G$33,MATCH(E164,'Page Plan'!$A$2:$A$33,0))</f>
        <v>Create new</v>
      </c>
      <c r="H164" s="18" t="str">
        <f aca="false">IF(A164=INDEX('Page Plan'!$H$2:$H$33,MATCH(E164,'Page Plan'!$A$2:$A$33,0)),"Primary","Secondary")</f>
        <v>Secondary</v>
      </c>
      <c r="I164" s="13" t="str">
        <f aca="false">IF(ISNUMBER(SEARCH("Informational",B164)),IF(ISNUMBER(SEARCH("Commercial",B164)),"Money","Support"),"Money")</f>
        <v>Support</v>
      </c>
    </row>
    <row r="165" customFormat="false" ht="15" hidden="false" customHeight="false" outlineLevel="0" collapsed="false">
      <c r="A165" s="13" t="s">
        <v>521</v>
      </c>
      <c r="B165" s="13" t="s">
        <v>440</v>
      </c>
      <c r="C165" s="16" t="n">
        <v>170</v>
      </c>
      <c r="D165" s="18" t="n">
        <v>8</v>
      </c>
      <c r="E165" s="13" t="s">
        <v>198</v>
      </c>
      <c r="F165" s="13" t="str">
        <f aca="false">INDEX('Page Plan'!$E$2:$E$33,MATCH(E165,'Page Plan'!$A$2:$A$33,0))</f>
        <v>/services/fridge-door-seal-replacement</v>
      </c>
      <c r="G165" s="13" t="str">
        <f aca="false">INDEX('Page Plan'!$G$2:$G$33,MATCH(E165,'Page Plan'!$A$2:$A$33,0))</f>
        <v>Create new</v>
      </c>
      <c r="H165" s="18" t="str">
        <f aca="false">IF(A165=INDEX('Page Plan'!$H$2:$H$33,MATCH(E165,'Page Plan'!$A$2:$A$33,0)),"Primary","Secondary")</f>
        <v>Secondary</v>
      </c>
      <c r="I165" s="13" t="str">
        <f aca="false">IF(ISNUMBER(SEARCH("Informational",B165)),IF(ISNUMBER(SEARCH("Commercial",B165)),"Money","Support"),"Money")</f>
        <v>Money</v>
      </c>
    </row>
    <row r="166" customFormat="false" ht="15" hidden="false" customHeight="false" outlineLevel="0" collapsed="false">
      <c r="A166" s="13" t="s">
        <v>522</v>
      </c>
      <c r="B166" s="13" t="s">
        <v>391</v>
      </c>
      <c r="C166" s="16" t="n">
        <v>140</v>
      </c>
      <c r="D166" s="18" t="n">
        <v>9</v>
      </c>
      <c r="E166" s="13" t="s">
        <v>198</v>
      </c>
      <c r="F166" s="13" t="str">
        <f aca="false">INDEX('Page Plan'!$E$2:$E$33,MATCH(E166,'Page Plan'!$A$2:$A$33,0))</f>
        <v>/services/fridge-door-seal-replacement</v>
      </c>
      <c r="G166" s="13" t="str">
        <f aca="false">INDEX('Page Plan'!$G$2:$G$33,MATCH(E166,'Page Plan'!$A$2:$A$33,0))</f>
        <v>Create new</v>
      </c>
      <c r="H166" s="18" t="str">
        <f aca="false">IF(A166=INDEX('Page Plan'!$H$2:$H$33,MATCH(E166,'Page Plan'!$A$2:$A$33,0)),"Primary","Secondary")</f>
        <v>Secondary</v>
      </c>
      <c r="I166" s="13" t="str">
        <f aca="false">IF(ISNUMBER(SEARCH("Informational",B166)),IF(ISNUMBER(SEARCH("Commercial",B166)),"Money","Support"),"Money")</f>
        <v>Support</v>
      </c>
    </row>
    <row r="167" customFormat="false" ht="15" hidden="false" customHeight="false" outlineLevel="0" collapsed="false">
      <c r="A167" s="13" t="s">
        <v>523</v>
      </c>
      <c r="B167" s="13" t="s">
        <v>369</v>
      </c>
      <c r="C167" s="16" t="n">
        <v>110</v>
      </c>
      <c r="D167" s="18" t="n">
        <v>6</v>
      </c>
      <c r="E167" s="13" t="s">
        <v>198</v>
      </c>
      <c r="F167" s="13" t="str">
        <f aca="false">INDEX('Page Plan'!$E$2:$E$33,MATCH(E167,'Page Plan'!$A$2:$A$33,0))</f>
        <v>/services/fridge-door-seal-replacement</v>
      </c>
      <c r="G167" s="13" t="str">
        <f aca="false">INDEX('Page Plan'!$G$2:$G$33,MATCH(E167,'Page Plan'!$A$2:$A$33,0))</f>
        <v>Create new</v>
      </c>
      <c r="H167" s="18" t="str">
        <f aca="false">IF(A167=INDEX('Page Plan'!$H$2:$H$33,MATCH(E167,'Page Plan'!$A$2:$A$33,0)),"Primary","Secondary")</f>
        <v>Secondary</v>
      </c>
      <c r="I167" s="13" t="str">
        <f aca="false">IF(ISNUMBER(SEARCH("Informational",B167)),IF(ISNUMBER(SEARCH("Commercial",B167)),"Money","Support"),"Money")</f>
        <v>Money</v>
      </c>
    </row>
    <row r="168" customFormat="false" ht="15" hidden="false" customHeight="false" outlineLevel="0" collapsed="false">
      <c r="A168" s="13" t="s">
        <v>524</v>
      </c>
      <c r="B168" s="13" t="s">
        <v>391</v>
      </c>
      <c r="C168" s="16" t="n">
        <v>110</v>
      </c>
      <c r="D168" s="18" t="n">
        <v>17</v>
      </c>
      <c r="E168" s="13" t="s">
        <v>198</v>
      </c>
      <c r="F168" s="13" t="str">
        <f aca="false">INDEX('Page Plan'!$E$2:$E$33,MATCH(E168,'Page Plan'!$A$2:$A$33,0))</f>
        <v>/services/fridge-door-seal-replacement</v>
      </c>
      <c r="G168" s="13" t="str">
        <f aca="false">INDEX('Page Plan'!$G$2:$G$33,MATCH(E168,'Page Plan'!$A$2:$A$33,0))</f>
        <v>Create new</v>
      </c>
      <c r="H168" s="18" t="str">
        <f aca="false">IF(A168=INDEX('Page Plan'!$H$2:$H$33,MATCH(E168,'Page Plan'!$A$2:$A$33,0)),"Primary","Secondary")</f>
        <v>Secondary</v>
      </c>
      <c r="I168" s="13" t="str">
        <f aca="false">IF(ISNUMBER(SEARCH("Informational",B168)),IF(ISNUMBER(SEARCH("Commercial",B168)),"Money","Support"),"Money")</f>
        <v>Support</v>
      </c>
    </row>
    <row r="169" customFormat="false" ht="15" hidden="false" customHeight="false" outlineLevel="0" collapsed="false">
      <c r="A169" s="13" t="s">
        <v>525</v>
      </c>
      <c r="B169" s="13" t="s">
        <v>371</v>
      </c>
      <c r="C169" s="16" t="n">
        <v>70</v>
      </c>
      <c r="D169" s="18" t="n">
        <v>13</v>
      </c>
      <c r="E169" s="13" t="s">
        <v>198</v>
      </c>
      <c r="F169" s="13" t="str">
        <f aca="false">INDEX('Page Plan'!$E$2:$E$33,MATCH(E169,'Page Plan'!$A$2:$A$33,0))</f>
        <v>/services/fridge-door-seal-replacement</v>
      </c>
      <c r="G169" s="13" t="str">
        <f aca="false">INDEX('Page Plan'!$G$2:$G$33,MATCH(E169,'Page Plan'!$A$2:$A$33,0))</f>
        <v>Create new</v>
      </c>
      <c r="H169" s="18" t="str">
        <f aca="false">IF(A169=INDEX('Page Plan'!$H$2:$H$33,MATCH(E169,'Page Plan'!$A$2:$A$33,0)),"Primary","Secondary")</f>
        <v>Secondary</v>
      </c>
      <c r="I169" s="13" t="str">
        <f aca="false">IF(ISNUMBER(SEARCH("Informational",B169)),IF(ISNUMBER(SEARCH("Commercial",B169)),"Money","Support"),"Money")</f>
        <v>Money</v>
      </c>
    </row>
    <row r="170" customFormat="false" ht="15" hidden="false" customHeight="false" outlineLevel="0" collapsed="false">
      <c r="A170" s="13" t="s">
        <v>526</v>
      </c>
      <c r="B170" s="13" t="s">
        <v>391</v>
      </c>
      <c r="C170" s="16" t="n">
        <v>70</v>
      </c>
      <c r="D170" s="18" t="n">
        <v>2</v>
      </c>
      <c r="E170" s="13" t="s">
        <v>198</v>
      </c>
      <c r="F170" s="13" t="str">
        <f aca="false">INDEX('Page Plan'!$E$2:$E$33,MATCH(E170,'Page Plan'!$A$2:$A$33,0))</f>
        <v>/services/fridge-door-seal-replacement</v>
      </c>
      <c r="G170" s="13" t="str">
        <f aca="false">INDEX('Page Plan'!$G$2:$G$33,MATCH(E170,'Page Plan'!$A$2:$A$33,0))</f>
        <v>Create new</v>
      </c>
      <c r="H170" s="18" t="str">
        <f aca="false">IF(A170=INDEX('Page Plan'!$H$2:$H$33,MATCH(E170,'Page Plan'!$A$2:$A$33,0)),"Primary","Secondary")</f>
        <v>Secondary</v>
      </c>
      <c r="I170" s="13" t="str">
        <f aca="false">IF(ISNUMBER(SEARCH("Informational",B170)),IF(ISNUMBER(SEARCH("Commercial",B170)),"Money","Support"),"Money")</f>
        <v>Support</v>
      </c>
    </row>
    <row r="171" customFormat="false" ht="15" hidden="false" customHeight="false" outlineLevel="0" collapsed="false">
      <c r="A171" s="13" t="s">
        <v>527</v>
      </c>
      <c r="B171" s="13" t="s">
        <v>371</v>
      </c>
      <c r="C171" s="16" t="n">
        <v>50</v>
      </c>
      <c r="D171" s="18" t="n">
        <v>9</v>
      </c>
      <c r="E171" s="13" t="s">
        <v>198</v>
      </c>
      <c r="F171" s="13" t="str">
        <f aca="false">INDEX('Page Plan'!$E$2:$E$33,MATCH(E171,'Page Plan'!$A$2:$A$33,0))</f>
        <v>/services/fridge-door-seal-replacement</v>
      </c>
      <c r="G171" s="13" t="str">
        <f aca="false">INDEX('Page Plan'!$G$2:$G$33,MATCH(E171,'Page Plan'!$A$2:$A$33,0))</f>
        <v>Create new</v>
      </c>
      <c r="H171" s="18" t="str">
        <f aca="false">IF(A171=INDEX('Page Plan'!$H$2:$H$33,MATCH(E171,'Page Plan'!$A$2:$A$33,0)),"Primary","Secondary")</f>
        <v>Secondary</v>
      </c>
      <c r="I171" s="13" t="str">
        <f aca="false">IF(ISNUMBER(SEARCH("Informational",B171)),IF(ISNUMBER(SEARCH("Commercial",B171)),"Money","Support"),"Money")</f>
        <v>Money</v>
      </c>
    </row>
    <row r="172" customFormat="false" ht="15" hidden="false" customHeight="false" outlineLevel="0" collapsed="false">
      <c r="A172" s="13" t="s">
        <v>528</v>
      </c>
      <c r="B172" s="13" t="s">
        <v>391</v>
      </c>
      <c r="C172" s="16" t="n">
        <v>50</v>
      </c>
      <c r="D172" s="18" t="n">
        <v>1</v>
      </c>
      <c r="E172" s="13" t="s">
        <v>198</v>
      </c>
      <c r="F172" s="13" t="str">
        <f aca="false">INDEX('Page Plan'!$E$2:$E$33,MATCH(E172,'Page Plan'!$A$2:$A$33,0))</f>
        <v>/services/fridge-door-seal-replacement</v>
      </c>
      <c r="G172" s="13" t="str">
        <f aca="false">INDEX('Page Plan'!$G$2:$G$33,MATCH(E172,'Page Plan'!$A$2:$A$33,0))</f>
        <v>Create new</v>
      </c>
      <c r="H172" s="18" t="str">
        <f aca="false">IF(A172=INDEX('Page Plan'!$H$2:$H$33,MATCH(E172,'Page Plan'!$A$2:$A$33,0)),"Primary","Secondary")</f>
        <v>Secondary</v>
      </c>
      <c r="I172" s="13" t="str">
        <f aca="false">IF(ISNUMBER(SEARCH("Informational",B172)),IF(ISNUMBER(SEARCH("Commercial",B172)),"Money","Support"),"Money")</f>
        <v>Support</v>
      </c>
    </row>
    <row r="173" customFormat="false" ht="15" hidden="false" customHeight="false" outlineLevel="0" collapsed="false">
      <c r="A173" s="13" t="s">
        <v>210</v>
      </c>
      <c r="B173" s="13" t="s">
        <v>391</v>
      </c>
      <c r="C173" s="16" t="n">
        <v>260</v>
      </c>
      <c r="D173" s="18" t="n">
        <v>11</v>
      </c>
      <c r="E173" s="13" t="s">
        <v>207</v>
      </c>
      <c r="F173" s="13" t="str">
        <f aca="false">INDEX('Page Plan'!$E$2:$E$33,MATCH(E173,'Page Plan'!$A$2:$A$33,0))</f>
        <v>/services/fridge-compressor-repair</v>
      </c>
      <c r="G173" s="13" t="str">
        <f aca="false">INDEX('Page Plan'!$G$2:$G$33,MATCH(E173,'Page Plan'!$A$2:$A$33,0))</f>
        <v>Create new</v>
      </c>
      <c r="H173" s="18" t="str">
        <f aca="false">IF(A173=INDEX('Page Plan'!$H$2:$H$33,MATCH(E173,'Page Plan'!$A$2:$A$33,0)),"Primary","Secondary")</f>
        <v>Primary</v>
      </c>
      <c r="I173" s="13" t="str">
        <f aca="false">IF(ISNUMBER(SEARCH("Informational",B173)),IF(ISNUMBER(SEARCH("Commercial",B173)),"Money","Support"),"Money")</f>
        <v>Support</v>
      </c>
    </row>
    <row r="174" customFormat="false" ht="15" hidden="false" customHeight="false" outlineLevel="0" collapsed="false">
      <c r="A174" s="13" t="s">
        <v>219</v>
      </c>
      <c r="B174" s="13" t="s">
        <v>371</v>
      </c>
      <c r="C174" s="16" t="n">
        <v>70</v>
      </c>
      <c r="D174" s="18" t="n">
        <v>8</v>
      </c>
      <c r="E174" s="13" t="s">
        <v>216</v>
      </c>
      <c r="F174" s="13" t="str">
        <f aca="false">INDEX('Page Plan'!$E$2:$E$33,MATCH(E174,'Page Plan'!$A$2:$A$33,0))</f>
        <v>/services/bar-wine-fridge-repair</v>
      </c>
      <c r="G174" s="13" t="str">
        <f aca="false">INDEX('Page Plan'!$G$2:$G$33,MATCH(E174,'Page Plan'!$A$2:$A$33,0))</f>
        <v>Create new</v>
      </c>
      <c r="H174" s="18" t="str">
        <f aca="false">IF(A174=INDEX('Page Plan'!$H$2:$H$33,MATCH(E174,'Page Plan'!$A$2:$A$33,0)),"Primary","Secondary")</f>
        <v>Primary</v>
      </c>
      <c r="I174" s="13" t="str">
        <f aca="false">IF(ISNUMBER(SEARCH("Informational",B174)),IF(ISNUMBER(SEARCH("Commercial",B174)),"Money","Support"),"Money")</f>
        <v>Money</v>
      </c>
    </row>
    <row r="175" customFormat="false" ht="15" hidden="false" customHeight="false" outlineLevel="0" collapsed="false">
      <c r="A175" s="13" t="s">
        <v>529</v>
      </c>
      <c r="B175" s="13" t="s">
        <v>371</v>
      </c>
      <c r="C175" s="16" t="n">
        <v>50</v>
      </c>
      <c r="D175" s="18" t="n">
        <v>11</v>
      </c>
      <c r="E175" s="13" t="s">
        <v>216</v>
      </c>
      <c r="F175" s="13" t="str">
        <f aca="false">INDEX('Page Plan'!$E$2:$E$33,MATCH(E175,'Page Plan'!$A$2:$A$33,0))</f>
        <v>/services/bar-wine-fridge-repair</v>
      </c>
      <c r="G175" s="13" t="str">
        <f aca="false">INDEX('Page Plan'!$G$2:$G$33,MATCH(E175,'Page Plan'!$A$2:$A$33,0))</f>
        <v>Create new</v>
      </c>
      <c r="H175" s="18" t="str">
        <f aca="false">IF(A175=INDEX('Page Plan'!$H$2:$H$33,MATCH(E175,'Page Plan'!$A$2:$A$33,0)),"Primary","Secondary")</f>
        <v>Secondary</v>
      </c>
      <c r="I175" s="13" t="str">
        <f aca="false">IF(ISNUMBER(SEARCH("Informational",B175)),IF(ISNUMBER(SEARCH("Commercial",B175)),"Money","Support"),"Money")</f>
        <v>Money</v>
      </c>
    </row>
    <row r="176" customFormat="false" ht="15" hidden="false" customHeight="false" outlineLevel="0" collapsed="false">
      <c r="A176" s="13" t="s">
        <v>530</v>
      </c>
      <c r="B176" s="13" t="s">
        <v>369</v>
      </c>
      <c r="C176" s="16" t="n">
        <v>50</v>
      </c>
      <c r="D176" s="18" t="n">
        <v>11</v>
      </c>
      <c r="E176" s="13" t="s">
        <v>216</v>
      </c>
      <c r="F176" s="13" t="str">
        <f aca="false">INDEX('Page Plan'!$E$2:$E$33,MATCH(E176,'Page Plan'!$A$2:$A$33,0))</f>
        <v>/services/bar-wine-fridge-repair</v>
      </c>
      <c r="G176" s="13" t="str">
        <f aca="false">INDEX('Page Plan'!$G$2:$G$33,MATCH(E176,'Page Plan'!$A$2:$A$33,0))</f>
        <v>Create new</v>
      </c>
      <c r="H176" s="18" t="str">
        <f aca="false">IF(A176=INDEX('Page Plan'!$H$2:$H$33,MATCH(E176,'Page Plan'!$A$2:$A$33,0)),"Primary","Secondary")</f>
        <v>Secondary</v>
      </c>
      <c r="I176" s="13" t="str">
        <f aca="false">IF(ISNUMBER(SEARCH("Informational",B176)),IF(ISNUMBER(SEARCH("Commercial",B176)),"Money","Support"),"Money")</f>
        <v>Money</v>
      </c>
    </row>
    <row r="177" customFormat="false" ht="15" hidden="false" customHeight="false" outlineLevel="0" collapsed="false">
      <c r="A177" s="13" t="s">
        <v>531</v>
      </c>
      <c r="B177" s="13" t="s">
        <v>391</v>
      </c>
      <c r="C177" s="16" t="n">
        <v>50</v>
      </c>
      <c r="D177" s="18" t="n">
        <v>9</v>
      </c>
      <c r="E177" s="13" t="s">
        <v>216</v>
      </c>
      <c r="F177" s="13" t="str">
        <f aca="false">INDEX('Page Plan'!$E$2:$E$33,MATCH(E177,'Page Plan'!$A$2:$A$33,0))</f>
        <v>/services/bar-wine-fridge-repair</v>
      </c>
      <c r="G177" s="13" t="str">
        <f aca="false">INDEX('Page Plan'!$G$2:$G$33,MATCH(E177,'Page Plan'!$A$2:$A$33,0))</f>
        <v>Create new</v>
      </c>
      <c r="H177" s="18" t="str">
        <f aca="false">IF(A177=INDEX('Page Plan'!$H$2:$H$33,MATCH(E177,'Page Plan'!$A$2:$A$33,0)),"Primary","Secondary")</f>
        <v>Secondary</v>
      </c>
      <c r="I177" s="13" t="str">
        <f aca="false">IF(ISNUMBER(SEARCH("Informational",B177)),IF(ISNUMBER(SEARCH("Commercial",B177)),"Money","Support"),"Money")</f>
        <v>Support</v>
      </c>
    </row>
    <row r="178" customFormat="false" ht="15" hidden="false" customHeight="false" outlineLevel="0" collapsed="false">
      <c r="A178" s="13" t="s">
        <v>228</v>
      </c>
      <c r="B178" s="13" t="s">
        <v>391</v>
      </c>
      <c r="C178" s="16" t="n">
        <v>1300</v>
      </c>
      <c r="D178" s="18" t="n">
        <v>13</v>
      </c>
      <c r="E178" s="13" t="s">
        <v>225</v>
      </c>
      <c r="F178" s="13" t="str">
        <f aca="false">INDEX('Page Plan'!$E$2:$E$33,MATCH(E178,'Page Plan'!$A$2:$A$33,0))</f>
        <v>/brands/samsung-fridge-repair</v>
      </c>
      <c r="G178" s="13" t="str">
        <f aca="false">INDEX('Page Plan'!$G$2:$G$33,MATCH(E178,'Page Plan'!$A$2:$A$33,0))</f>
        <v>Create new</v>
      </c>
      <c r="H178" s="18" t="str">
        <f aca="false">IF(A178=INDEX('Page Plan'!$H$2:$H$33,MATCH(E178,'Page Plan'!$A$2:$A$33,0)),"Primary","Secondary")</f>
        <v>Primary</v>
      </c>
      <c r="I178" s="13" t="str">
        <f aca="false">IF(ISNUMBER(SEARCH("Informational",B178)),IF(ISNUMBER(SEARCH("Commercial",B178)),"Money","Support"),"Money")</f>
        <v>Support</v>
      </c>
    </row>
    <row r="179" customFormat="false" ht="15" hidden="false" customHeight="false" outlineLevel="0" collapsed="false">
      <c r="A179" s="13" t="s">
        <v>532</v>
      </c>
      <c r="B179" s="13" t="s">
        <v>371</v>
      </c>
      <c r="C179" s="16" t="n">
        <v>1000</v>
      </c>
      <c r="D179" s="18" t="n">
        <v>17</v>
      </c>
      <c r="E179" s="13" t="s">
        <v>225</v>
      </c>
      <c r="F179" s="13" t="str">
        <f aca="false">INDEX('Page Plan'!$E$2:$E$33,MATCH(E179,'Page Plan'!$A$2:$A$33,0))</f>
        <v>/brands/samsung-fridge-repair</v>
      </c>
      <c r="G179" s="13" t="str">
        <f aca="false">INDEX('Page Plan'!$G$2:$G$33,MATCH(E179,'Page Plan'!$A$2:$A$33,0))</f>
        <v>Create new</v>
      </c>
      <c r="H179" s="18" t="str">
        <f aca="false">IF(A179=INDEX('Page Plan'!$H$2:$H$33,MATCH(E179,'Page Plan'!$A$2:$A$33,0)),"Primary","Secondary")</f>
        <v>Secondary</v>
      </c>
      <c r="I179" s="13" t="str">
        <f aca="false">IF(ISNUMBER(SEARCH("Informational",B179)),IF(ISNUMBER(SEARCH("Commercial",B179)),"Money","Support"),"Money")</f>
        <v>Money</v>
      </c>
    </row>
    <row r="180" customFormat="false" ht="15" hidden="false" customHeight="false" outlineLevel="0" collapsed="false">
      <c r="A180" s="13" t="s">
        <v>533</v>
      </c>
      <c r="B180" s="13" t="s">
        <v>391</v>
      </c>
      <c r="C180" s="16" t="n">
        <v>480</v>
      </c>
      <c r="D180" s="18" t="n">
        <v>20</v>
      </c>
      <c r="E180" s="13" t="s">
        <v>225</v>
      </c>
      <c r="F180" s="13" t="str">
        <f aca="false">INDEX('Page Plan'!$E$2:$E$33,MATCH(E180,'Page Plan'!$A$2:$A$33,0))</f>
        <v>/brands/samsung-fridge-repair</v>
      </c>
      <c r="G180" s="13" t="str">
        <f aca="false">INDEX('Page Plan'!$G$2:$G$33,MATCH(E180,'Page Plan'!$A$2:$A$33,0))</f>
        <v>Create new</v>
      </c>
      <c r="H180" s="18" t="str">
        <f aca="false">IF(A180=INDEX('Page Plan'!$H$2:$H$33,MATCH(E180,'Page Plan'!$A$2:$A$33,0)),"Primary","Secondary")</f>
        <v>Secondary</v>
      </c>
      <c r="I180" s="13" t="str">
        <f aca="false">IF(ISNUMBER(SEARCH("Informational",B180)),IF(ISNUMBER(SEARCH("Commercial",B180)),"Money","Support"),"Money")</f>
        <v>Support</v>
      </c>
    </row>
    <row r="181" customFormat="false" ht="15" hidden="false" customHeight="false" outlineLevel="0" collapsed="false">
      <c r="A181" s="13" t="s">
        <v>534</v>
      </c>
      <c r="B181" s="13" t="s">
        <v>369</v>
      </c>
      <c r="C181" s="16" t="n">
        <v>210</v>
      </c>
      <c r="D181" s="18" t="n">
        <v>10</v>
      </c>
      <c r="E181" s="13" t="s">
        <v>225</v>
      </c>
      <c r="F181" s="13" t="str">
        <f aca="false">INDEX('Page Plan'!$E$2:$E$33,MATCH(E181,'Page Plan'!$A$2:$A$33,0))</f>
        <v>/brands/samsung-fridge-repair</v>
      </c>
      <c r="G181" s="13" t="str">
        <f aca="false">INDEX('Page Plan'!$G$2:$G$33,MATCH(E181,'Page Plan'!$A$2:$A$33,0))</f>
        <v>Create new</v>
      </c>
      <c r="H181" s="18" t="str">
        <f aca="false">IF(A181=INDEX('Page Plan'!$H$2:$H$33,MATCH(E181,'Page Plan'!$A$2:$A$33,0)),"Primary","Secondary")</f>
        <v>Secondary</v>
      </c>
      <c r="I181" s="13" t="str">
        <f aca="false">IF(ISNUMBER(SEARCH("Informational",B181)),IF(ISNUMBER(SEARCH("Commercial",B181)),"Money","Support"),"Money")</f>
        <v>Money</v>
      </c>
    </row>
    <row r="182" customFormat="false" ht="15" hidden="false" customHeight="false" outlineLevel="0" collapsed="false">
      <c r="A182" s="13" t="s">
        <v>535</v>
      </c>
      <c r="B182" s="13" t="s">
        <v>391</v>
      </c>
      <c r="C182" s="16" t="n">
        <v>140</v>
      </c>
      <c r="D182" s="18" t="n">
        <v>11</v>
      </c>
      <c r="E182" s="13" t="s">
        <v>225</v>
      </c>
      <c r="F182" s="13" t="str">
        <f aca="false">INDEX('Page Plan'!$E$2:$E$33,MATCH(E182,'Page Plan'!$A$2:$A$33,0))</f>
        <v>/brands/samsung-fridge-repair</v>
      </c>
      <c r="G182" s="13" t="str">
        <f aca="false">INDEX('Page Plan'!$G$2:$G$33,MATCH(E182,'Page Plan'!$A$2:$A$33,0))</f>
        <v>Create new</v>
      </c>
      <c r="H182" s="18" t="str">
        <f aca="false">IF(A182=INDEX('Page Plan'!$H$2:$H$33,MATCH(E182,'Page Plan'!$A$2:$A$33,0)),"Primary","Secondary")</f>
        <v>Secondary</v>
      </c>
      <c r="I182" s="13" t="str">
        <f aca="false">IF(ISNUMBER(SEARCH("Informational",B182)),IF(ISNUMBER(SEARCH("Commercial",B182)),"Money","Support"),"Money")</f>
        <v>Support</v>
      </c>
    </row>
    <row r="183" customFormat="false" ht="15" hidden="false" customHeight="false" outlineLevel="0" collapsed="false">
      <c r="A183" s="13" t="s">
        <v>536</v>
      </c>
      <c r="B183" s="13" t="s">
        <v>391</v>
      </c>
      <c r="C183" s="16" t="n">
        <v>90</v>
      </c>
      <c r="D183" s="18" t="n">
        <v>16</v>
      </c>
      <c r="E183" s="13" t="s">
        <v>225</v>
      </c>
      <c r="F183" s="13" t="str">
        <f aca="false">INDEX('Page Plan'!$E$2:$E$33,MATCH(E183,'Page Plan'!$A$2:$A$33,0))</f>
        <v>/brands/samsung-fridge-repair</v>
      </c>
      <c r="G183" s="13" t="str">
        <f aca="false">INDEX('Page Plan'!$G$2:$G$33,MATCH(E183,'Page Plan'!$A$2:$A$33,0))</f>
        <v>Create new</v>
      </c>
      <c r="H183" s="18" t="str">
        <f aca="false">IF(A183=INDEX('Page Plan'!$H$2:$H$33,MATCH(E183,'Page Plan'!$A$2:$A$33,0)),"Primary","Secondary")</f>
        <v>Secondary</v>
      </c>
      <c r="I183" s="13" t="str">
        <f aca="false">IF(ISNUMBER(SEARCH("Informational",B183)),IF(ISNUMBER(SEARCH("Commercial",B183)),"Money","Support"),"Money")</f>
        <v>Support</v>
      </c>
    </row>
    <row r="184" customFormat="false" ht="15" hidden="false" customHeight="false" outlineLevel="0" collapsed="false">
      <c r="A184" s="13" t="s">
        <v>537</v>
      </c>
      <c r="B184" s="13" t="s">
        <v>391</v>
      </c>
      <c r="C184" s="16" t="n">
        <v>50</v>
      </c>
      <c r="D184" s="18" t="n">
        <v>13</v>
      </c>
      <c r="E184" s="13" t="s">
        <v>225</v>
      </c>
      <c r="F184" s="13" t="str">
        <f aca="false">INDEX('Page Plan'!$E$2:$E$33,MATCH(E184,'Page Plan'!$A$2:$A$33,0))</f>
        <v>/brands/samsung-fridge-repair</v>
      </c>
      <c r="G184" s="13" t="str">
        <f aca="false">INDEX('Page Plan'!$G$2:$G$33,MATCH(E184,'Page Plan'!$A$2:$A$33,0))</f>
        <v>Create new</v>
      </c>
      <c r="H184" s="18" t="str">
        <f aca="false">IF(A184=INDEX('Page Plan'!$H$2:$H$33,MATCH(E184,'Page Plan'!$A$2:$A$33,0)),"Primary","Secondary")</f>
        <v>Secondary</v>
      </c>
      <c r="I184" s="13" t="str">
        <f aca="false">IF(ISNUMBER(SEARCH("Informational",B184)),IF(ISNUMBER(SEARCH("Commercial",B184)),"Money","Support"),"Money")</f>
        <v>Support</v>
      </c>
    </row>
    <row r="185" customFormat="false" ht="15" hidden="false" customHeight="false" outlineLevel="0" collapsed="false">
      <c r="A185" s="13" t="s">
        <v>237</v>
      </c>
      <c r="B185" s="13" t="s">
        <v>538</v>
      </c>
      <c r="C185" s="16" t="n">
        <v>1300</v>
      </c>
      <c r="D185" s="18" t="n">
        <v>15</v>
      </c>
      <c r="E185" s="13" t="s">
        <v>234</v>
      </c>
      <c r="F185" s="13" t="str">
        <f aca="false">INDEX('Page Plan'!$E$2:$E$33,MATCH(E185,'Page Plan'!$A$2:$A$33,0))</f>
        <v>/brands/lg-fridge-repair</v>
      </c>
      <c r="G185" s="13" t="str">
        <f aca="false">INDEX('Page Plan'!$G$2:$G$33,MATCH(E185,'Page Plan'!$A$2:$A$33,0))</f>
        <v>Create new</v>
      </c>
      <c r="H185" s="18" t="str">
        <f aca="false">IF(A185=INDEX('Page Plan'!$H$2:$H$33,MATCH(E185,'Page Plan'!$A$2:$A$33,0)),"Primary","Secondary")</f>
        <v>Primary</v>
      </c>
      <c r="I185" s="13" t="str">
        <f aca="false">IF(ISNUMBER(SEARCH("Informational",B185)),IF(ISNUMBER(SEARCH("Commercial",B185)),"Money","Support"),"Money")</f>
        <v>Money</v>
      </c>
    </row>
    <row r="186" customFormat="false" ht="15" hidden="false" customHeight="false" outlineLevel="0" collapsed="false">
      <c r="A186" s="13" t="s">
        <v>539</v>
      </c>
      <c r="B186" s="13" t="s">
        <v>538</v>
      </c>
      <c r="C186" s="16" t="n">
        <v>1000</v>
      </c>
      <c r="D186" s="18" t="n">
        <v>16</v>
      </c>
      <c r="E186" s="13" t="s">
        <v>234</v>
      </c>
      <c r="F186" s="13" t="str">
        <f aca="false">INDEX('Page Plan'!$E$2:$E$33,MATCH(E186,'Page Plan'!$A$2:$A$33,0))</f>
        <v>/brands/lg-fridge-repair</v>
      </c>
      <c r="G186" s="13" t="str">
        <f aca="false">INDEX('Page Plan'!$G$2:$G$33,MATCH(E186,'Page Plan'!$A$2:$A$33,0))</f>
        <v>Create new</v>
      </c>
      <c r="H186" s="18" t="str">
        <f aca="false">IF(A186=INDEX('Page Plan'!$H$2:$H$33,MATCH(E186,'Page Plan'!$A$2:$A$33,0)),"Primary","Secondary")</f>
        <v>Secondary</v>
      </c>
      <c r="I186" s="13" t="str">
        <f aca="false">IF(ISNUMBER(SEARCH("Informational",B186)),IF(ISNUMBER(SEARCH("Commercial",B186)),"Money","Support"),"Money")</f>
        <v>Money</v>
      </c>
    </row>
    <row r="187" customFormat="false" ht="15" hidden="false" customHeight="false" outlineLevel="0" collapsed="false">
      <c r="A187" s="13" t="s">
        <v>540</v>
      </c>
      <c r="B187" s="13" t="s">
        <v>538</v>
      </c>
      <c r="C187" s="16" t="n">
        <v>480</v>
      </c>
      <c r="D187" s="18" t="n">
        <v>13</v>
      </c>
      <c r="E187" s="13" t="s">
        <v>234</v>
      </c>
      <c r="F187" s="13" t="str">
        <f aca="false">INDEX('Page Plan'!$E$2:$E$33,MATCH(E187,'Page Plan'!$A$2:$A$33,0))</f>
        <v>/brands/lg-fridge-repair</v>
      </c>
      <c r="G187" s="13" t="str">
        <f aca="false">INDEX('Page Plan'!$G$2:$G$33,MATCH(E187,'Page Plan'!$A$2:$A$33,0))</f>
        <v>Create new</v>
      </c>
      <c r="H187" s="18" t="str">
        <f aca="false">IF(A187=INDEX('Page Plan'!$H$2:$H$33,MATCH(E187,'Page Plan'!$A$2:$A$33,0)),"Primary","Secondary")</f>
        <v>Secondary</v>
      </c>
      <c r="I187" s="13" t="str">
        <f aca="false">IF(ISNUMBER(SEARCH("Informational",B187)),IF(ISNUMBER(SEARCH("Commercial",B187)),"Money","Support"),"Money")</f>
        <v>Money</v>
      </c>
    </row>
    <row r="188" customFormat="false" ht="15" hidden="false" customHeight="false" outlineLevel="0" collapsed="false">
      <c r="A188" s="13" t="s">
        <v>541</v>
      </c>
      <c r="B188" s="13" t="s">
        <v>538</v>
      </c>
      <c r="C188" s="16" t="n">
        <v>480</v>
      </c>
      <c r="D188" s="18" t="n">
        <v>13</v>
      </c>
      <c r="E188" s="13" t="s">
        <v>234</v>
      </c>
      <c r="F188" s="13" t="str">
        <f aca="false">INDEX('Page Plan'!$E$2:$E$33,MATCH(E188,'Page Plan'!$A$2:$A$33,0))</f>
        <v>/brands/lg-fridge-repair</v>
      </c>
      <c r="G188" s="13" t="str">
        <f aca="false">INDEX('Page Plan'!$G$2:$G$33,MATCH(E188,'Page Plan'!$A$2:$A$33,0))</f>
        <v>Create new</v>
      </c>
      <c r="H188" s="18" t="str">
        <f aca="false">IF(A188=INDEX('Page Plan'!$H$2:$H$33,MATCH(E188,'Page Plan'!$A$2:$A$33,0)),"Primary","Secondary")</f>
        <v>Secondary</v>
      </c>
      <c r="I188" s="13" t="str">
        <f aca="false">IF(ISNUMBER(SEARCH("Informational",B188)),IF(ISNUMBER(SEARCH("Commercial",B188)),"Money","Support"),"Money")</f>
        <v>Money</v>
      </c>
    </row>
    <row r="189" customFormat="false" ht="15" hidden="false" customHeight="false" outlineLevel="0" collapsed="false">
      <c r="A189" s="13" t="s">
        <v>542</v>
      </c>
      <c r="B189" s="13" t="s">
        <v>369</v>
      </c>
      <c r="C189" s="16" t="n">
        <v>260</v>
      </c>
      <c r="D189" s="18" t="n">
        <v>11</v>
      </c>
      <c r="E189" s="13" t="s">
        <v>234</v>
      </c>
      <c r="F189" s="13" t="str">
        <f aca="false">INDEX('Page Plan'!$E$2:$E$33,MATCH(E189,'Page Plan'!$A$2:$A$33,0))</f>
        <v>/brands/lg-fridge-repair</v>
      </c>
      <c r="G189" s="13" t="str">
        <f aca="false">INDEX('Page Plan'!$G$2:$G$33,MATCH(E189,'Page Plan'!$A$2:$A$33,0))</f>
        <v>Create new</v>
      </c>
      <c r="H189" s="18" t="str">
        <f aca="false">IF(A189=INDEX('Page Plan'!$H$2:$H$33,MATCH(E189,'Page Plan'!$A$2:$A$33,0)),"Primary","Secondary")</f>
        <v>Secondary</v>
      </c>
      <c r="I189" s="13" t="str">
        <f aca="false">IF(ISNUMBER(SEARCH("Informational",B189)),IF(ISNUMBER(SEARCH("Commercial",B189)),"Money","Support"),"Money")</f>
        <v>Money</v>
      </c>
    </row>
    <row r="190" customFormat="false" ht="15" hidden="false" customHeight="false" outlineLevel="0" collapsed="false">
      <c r="A190" s="13" t="s">
        <v>543</v>
      </c>
      <c r="B190" s="13" t="s">
        <v>369</v>
      </c>
      <c r="C190" s="16" t="n">
        <v>260</v>
      </c>
      <c r="D190" s="18" t="n">
        <v>11</v>
      </c>
      <c r="E190" s="13" t="s">
        <v>234</v>
      </c>
      <c r="F190" s="13" t="str">
        <f aca="false">INDEX('Page Plan'!$E$2:$E$33,MATCH(E190,'Page Plan'!$A$2:$A$33,0))</f>
        <v>/brands/lg-fridge-repair</v>
      </c>
      <c r="G190" s="13" t="str">
        <f aca="false">INDEX('Page Plan'!$G$2:$G$33,MATCH(E190,'Page Plan'!$A$2:$A$33,0))</f>
        <v>Create new</v>
      </c>
      <c r="H190" s="18" t="str">
        <f aca="false">IF(A190=INDEX('Page Plan'!$H$2:$H$33,MATCH(E190,'Page Plan'!$A$2:$A$33,0)),"Primary","Secondary")</f>
        <v>Secondary</v>
      </c>
      <c r="I190" s="13" t="str">
        <f aca="false">IF(ISNUMBER(SEARCH("Informational",B190)),IF(ISNUMBER(SEARCH("Commercial",B190)),"Money","Support"),"Money")</f>
        <v>Money</v>
      </c>
    </row>
    <row r="191" customFormat="false" ht="15" hidden="false" customHeight="false" outlineLevel="0" collapsed="false">
      <c r="A191" s="13" t="s">
        <v>544</v>
      </c>
      <c r="B191" s="13" t="s">
        <v>369</v>
      </c>
      <c r="C191" s="16" t="n">
        <v>260</v>
      </c>
      <c r="D191" s="18" t="n">
        <v>11</v>
      </c>
      <c r="E191" s="13" t="s">
        <v>234</v>
      </c>
      <c r="F191" s="13" t="str">
        <f aca="false">INDEX('Page Plan'!$E$2:$E$33,MATCH(E191,'Page Plan'!$A$2:$A$33,0))</f>
        <v>/brands/lg-fridge-repair</v>
      </c>
      <c r="G191" s="13" t="str">
        <f aca="false">INDEX('Page Plan'!$G$2:$G$33,MATCH(E191,'Page Plan'!$A$2:$A$33,0))</f>
        <v>Create new</v>
      </c>
      <c r="H191" s="18" t="str">
        <f aca="false">IF(A191=INDEX('Page Plan'!$H$2:$H$33,MATCH(E191,'Page Plan'!$A$2:$A$33,0)),"Primary","Secondary")</f>
        <v>Secondary</v>
      </c>
      <c r="I191" s="13" t="str">
        <f aca="false">IF(ISNUMBER(SEARCH("Informational",B191)),IF(ISNUMBER(SEARCH("Commercial",B191)),"Money","Support"),"Money")</f>
        <v>Money</v>
      </c>
    </row>
    <row r="192" customFormat="false" ht="15" hidden="false" customHeight="false" outlineLevel="0" collapsed="false">
      <c r="A192" s="13" t="s">
        <v>545</v>
      </c>
      <c r="B192" s="13" t="s">
        <v>538</v>
      </c>
      <c r="C192" s="16" t="n">
        <v>110</v>
      </c>
      <c r="D192" s="18" t="n">
        <v>11</v>
      </c>
      <c r="E192" s="13" t="s">
        <v>234</v>
      </c>
      <c r="F192" s="13" t="str">
        <f aca="false">INDEX('Page Plan'!$E$2:$E$33,MATCH(E192,'Page Plan'!$A$2:$A$33,0))</f>
        <v>/brands/lg-fridge-repair</v>
      </c>
      <c r="G192" s="13" t="str">
        <f aca="false">INDEX('Page Plan'!$G$2:$G$33,MATCH(E192,'Page Plan'!$A$2:$A$33,0))</f>
        <v>Create new</v>
      </c>
      <c r="H192" s="18" t="str">
        <f aca="false">IF(A192=INDEX('Page Plan'!$H$2:$H$33,MATCH(E192,'Page Plan'!$A$2:$A$33,0)),"Primary","Secondary")</f>
        <v>Secondary</v>
      </c>
      <c r="I192" s="13" t="str">
        <f aca="false">IF(ISNUMBER(SEARCH("Informational",B192)),IF(ISNUMBER(SEARCH("Commercial",B192)),"Money","Support"),"Money")</f>
        <v>Money</v>
      </c>
    </row>
    <row r="193" customFormat="false" ht="15" hidden="false" customHeight="false" outlineLevel="0" collapsed="false">
      <c r="A193" s="13" t="s">
        <v>546</v>
      </c>
      <c r="B193" s="13" t="s">
        <v>538</v>
      </c>
      <c r="C193" s="16" t="n">
        <v>110</v>
      </c>
      <c r="D193" s="18" t="n">
        <v>15</v>
      </c>
      <c r="E193" s="13" t="s">
        <v>234</v>
      </c>
      <c r="F193" s="13" t="str">
        <f aca="false">INDEX('Page Plan'!$E$2:$E$33,MATCH(E193,'Page Plan'!$A$2:$A$33,0))</f>
        <v>/brands/lg-fridge-repair</v>
      </c>
      <c r="G193" s="13" t="str">
        <f aca="false">INDEX('Page Plan'!$G$2:$G$33,MATCH(E193,'Page Plan'!$A$2:$A$33,0))</f>
        <v>Create new</v>
      </c>
      <c r="H193" s="18" t="str">
        <f aca="false">IF(A193=INDEX('Page Plan'!$H$2:$H$33,MATCH(E193,'Page Plan'!$A$2:$A$33,0)),"Primary","Secondary")</f>
        <v>Secondary</v>
      </c>
      <c r="I193" s="13" t="str">
        <f aca="false">IF(ISNUMBER(SEARCH("Informational",B193)),IF(ISNUMBER(SEARCH("Commercial",B193)),"Money","Support"),"Money")</f>
        <v>Money</v>
      </c>
    </row>
    <row r="194" customFormat="false" ht="15" hidden="false" customHeight="false" outlineLevel="0" collapsed="false">
      <c r="A194" s="13" t="s">
        <v>547</v>
      </c>
      <c r="B194" s="13" t="s">
        <v>538</v>
      </c>
      <c r="C194" s="16" t="n">
        <v>50</v>
      </c>
      <c r="D194" s="18" t="n">
        <v>11</v>
      </c>
      <c r="E194" s="13" t="s">
        <v>234</v>
      </c>
      <c r="F194" s="13" t="str">
        <f aca="false">INDEX('Page Plan'!$E$2:$E$33,MATCH(E194,'Page Plan'!$A$2:$A$33,0))</f>
        <v>/brands/lg-fridge-repair</v>
      </c>
      <c r="G194" s="13" t="str">
        <f aca="false">INDEX('Page Plan'!$G$2:$G$33,MATCH(E194,'Page Plan'!$A$2:$A$33,0))</f>
        <v>Create new</v>
      </c>
      <c r="H194" s="18" t="str">
        <f aca="false">IF(A194=INDEX('Page Plan'!$H$2:$H$33,MATCH(E194,'Page Plan'!$A$2:$A$33,0)),"Primary","Secondary")</f>
        <v>Secondary</v>
      </c>
      <c r="I194" s="13" t="str">
        <f aca="false">IF(ISNUMBER(SEARCH("Informational",B194)),IF(ISNUMBER(SEARCH("Commercial",B194)),"Money","Support"),"Money")</f>
        <v>Money</v>
      </c>
    </row>
    <row r="195" customFormat="false" ht="15" hidden="false" customHeight="false" outlineLevel="0" collapsed="false">
      <c r="A195" s="13" t="s">
        <v>548</v>
      </c>
      <c r="B195" s="13" t="s">
        <v>538</v>
      </c>
      <c r="C195" s="16" t="n">
        <v>50</v>
      </c>
      <c r="D195" s="18" t="n">
        <v>10</v>
      </c>
      <c r="E195" s="13" t="s">
        <v>234</v>
      </c>
      <c r="F195" s="13" t="str">
        <f aca="false">INDEX('Page Plan'!$E$2:$E$33,MATCH(E195,'Page Plan'!$A$2:$A$33,0))</f>
        <v>/brands/lg-fridge-repair</v>
      </c>
      <c r="G195" s="13" t="str">
        <f aca="false">INDEX('Page Plan'!$G$2:$G$33,MATCH(E195,'Page Plan'!$A$2:$A$33,0))</f>
        <v>Create new</v>
      </c>
      <c r="H195" s="18" t="str">
        <f aca="false">IF(A195=INDEX('Page Plan'!$H$2:$H$33,MATCH(E195,'Page Plan'!$A$2:$A$33,0)),"Primary","Secondary")</f>
        <v>Secondary</v>
      </c>
      <c r="I195" s="13" t="str">
        <f aca="false">IF(ISNUMBER(SEARCH("Informational",B195)),IF(ISNUMBER(SEARCH("Commercial",B195)),"Money","Support"),"Money")</f>
        <v>Money</v>
      </c>
    </row>
    <row r="196" customFormat="false" ht="15" hidden="false" customHeight="false" outlineLevel="0" collapsed="false">
      <c r="A196" s="13" t="s">
        <v>246</v>
      </c>
      <c r="B196" s="13" t="s">
        <v>538</v>
      </c>
      <c r="C196" s="16" t="n">
        <v>720</v>
      </c>
      <c r="D196" s="18" t="n">
        <v>14</v>
      </c>
      <c r="E196" s="13" t="s">
        <v>243</v>
      </c>
      <c r="F196" s="13" t="str">
        <f aca="false">INDEX('Page Plan'!$E$2:$E$33,MATCH(E196,'Page Plan'!$A$2:$A$33,0))</f>
        <v>/brands/westinghouse-fridge-repair</v>
      </c>
      <c r="G196" s="13" t="str">
        <f aca="false">INDEX('Page Plan'!$G$2:$G$33,MATCH(E196,'Page Plan'!$A$2:$A$33,0))</f>
        <v>Create new</v>
      </c>
      <c r="H196" s="18" t="str">
        <f aca="false">IF(A196=INDEX('Page Plan'!$H$2:$H$33,MATCH(E196,'Page Plan'!$A$2:$A$33,0)),"Primary","Secondary")</f>
        <v>Primary</v>
      </c>
      <c r="I196" s="13" t="str">
        <f aca="false">IF(ISNUMBER(SEARCH("Informational",B196)),IF(ISNUMBER(SEARCH("Commercial",B196)),"Money","Support"),"Money")</f>
        <v>Money</v>
      </c>
    </row>
    <row r="197" customFormat="false" ht="15" hidden="false" customHeight="false" outlineLevel="0" collapsed="false">
      <c r="A197" s="13" t="s">
        <v>549</v>
      </c>
      <c r="B197" s="13" t="s">
        <v>538</v>
      </c>
      <c r="C197" s="16" t="n">
        <v>720</v>
      </c>
      <c r="D197" s="18" t="n">
        <v>13</v>
      </c>
      <c r="E197" s="13" t="s">
        <v>243</v>
      </c>
      <c r="F197" s="13" t="str">
        <f aca="false">INDEX('Page Plan'!$E$2:$E$33,MATCH(E197,'Page Plan'!$A$2:$A$33,0))</f>
        <v>/brands/westinghouse-fridge-repair</v>
      </c>
      <c r="G197" s="13" t="str">
        <f aca="false">INDEX('Page Plan'!$G$2:$G$33,MATCH(E197,'Page Plan'!$A$2:$A$33,0))</f>
        <v>Create new</v>
      </c>
      <c r="H197" s="18" t="str">
        <f aca="false">IF(A197=INDEX('Page Plan'!$H$2:$H$33,MATCH(E197,'Page Plan'!$A$2:$A$33,0)),"Primary","Secondary")</f>
        <v>Secondary</v>
      </c>
      <c r="I197" s="13" t="str">
        <f aca="false">IF(ISNUMBER(SEARCH("Informational",B197)),IF(ISNUMBER(SEARCH("Commercial",B197)),"Money","Support"),"Money")</f>
        <v>Money</v>
      </c>
    </row>
    <row r="198" customFormat="false" ht="15" hidden="false" customHeight="false" outlineLevel="0" collapsed="false">
      <c r="A198" s="13" t="s">
        <v>550</v>
      </c>
      <c r="B198" s="13" t="s">
        <v>391</v>
      </c>
      <c r="C198" s="16" t="n">
        <v>720</v>
      </c>
      <c r="D198" s="18" t="n">
        <v>12</v>
      </c>
      <c r="E198" s="13" t="s">
        <v>243</v>
      </c>
      <c r="F198" s="13" t="str">
        <f aca="false">INDEX('Page Plan'!$E$2:$E$33,MATCH(E198,'Page Plan'!$A$2:$A$33,0))</f>
        <v>/brands/westinghouse-fridge-repair</v>
      </c>
      <c r="G198" s="13" t="str">
        <f aca="false">INDEX('Page Plan'!$G$2:$G$33,MATCH(E198,'Page Plan'!$A$2:$A$33,0))</f>
        <v>Create new</v>
      </c>
      <c r="H198" s="18" t="str">
        <f aca="false">IF(A198=INDEX('Page Plan'!$H$2:$H$33,MATCH(E198,'Page Plan'!$A$2:$A$33,0)),"Primary","Secondary")</f>
        <v>Secondary</v>
      </c>
      <c r="I198" s="13" t="str">
        <f aca="false">IF(ISNUMBER(SEARCH("Informational",B198)),IF(ISNUMBER(SEARCH("Commercial",B198)),"Money","Support"),"Money")</f>
        <v>Support</v>
      </c>
    </row>
    <row r="199" customFormat="false" ht="15" hidden="false" customHeight="false" outlineLevel="0" collapsed="false">
      <c r="A199" s="13" t="s">
        <v>551</v>
      </c>
      <c r="B199" s="13" t="s">
        <v>371</v>
      </c>
      <c r="C199" s="16" t="n">
        <v>590</v>
      </c>
      <c r="D199" s="18" t="n">
        <v>13</v>
      </c>
      <c r="E199" s="13" t="s">
        <v>243</v>
      </c>
      <c r="F199" s="13" t="str">
        <f aca="false">INDEX('Page Plan'!$E$2:$E$33,MATCH(E199,'Page Plan'!$A$2:$A$33,0))</f>
        <v>/brands/westinghouse-fridge-repair</v>
      </c>
      <c r="G199" s="13" t="str">
        <f aca="false">INDEX('Page Plan'!$G$2:$G$33,MATCH(E199,'Page Plan'!$A$2:$A$33,0))</f>
        <v>Create new</v>
      </c>
      <c r="H199" s="18" t="str">
        <f aca="false">IF(A199=INDEX('Page Plan'!$H$2:$H$33,MATCH(E199,'Page Plan'!$A$2:$A$33,0)),"Primary","Secondary")</f>
        <v>Secondary</v>
      </c>
      <c r="I199" s="13" t="str">
        <f aca="false">IF(ISNUMBER(SEARCH("Informational",B199)),IF(ISNUMBER(SEARCH("Commercial",B199)),"Money","Support"),"Money")</f>
        <v>Money</v>
      </c>
    </row>
    <row r="200" customFormat="false" ht="15" hidden="false" customHeight="false" outlineLevel="0" collapsed="false">
      <c r="A200" s="13" t="s">
        <v>552</v>
      </c>
      <c r="B200" s="13" t="s">
        <v>369</v>
      </c>
      <c r="C200" s="16" t="n">
        <v>140</v>
      </c>
      <c r="D200" s="18" t="n">
        <v>11</v>
      </c>
      <c r="E200" s="13" t="s">
        <v>243</v>
      </c>
      <c r="F200" s="13" t="str">
        <f aca="false">INDEX('Page Plan'!$E$2:$E$33,MATCH(E200,'Page Plan'!$A$2:$A$33,0))</f>
        <v>/brands/westinghouse-fridge-repair</v>
      </c>
      <c r="G200" s="13" t="str">
        <f aca="false">INDEX('Page Plan'!$G$2:$G$33,MATCH(E200,'Page Plan'!$A$2:$A$33,0))</f>
        <v>Create new</v>
      </c>
      <c r="H200" s="18" t="str">
        <f aca="false">IF(A200=INDEX('Page Plan'!$H$2:$H$33,MATCH(E200,'Page Plan'!$A$2:$A$33,0)),"Primary","Secondary")</f>
        <v>Secondary</v>
      </c>
      <c r="I200" s="13" t="str">
        <f aca="false">IF(ISNUMBER(SEARCH("Informational",B200)),IF(ISNUMBER(SEARCH("Commercial",B200)),"Money","Support"),"Money")</f>
        <v>Money</v>
      </c>
    </row>
    <row r="201" customFormat="false" ht="15" hidden="false" customHeight="false" outlineLevel="0" collapsed="false">
      <c r="A201" s="13" t="s">
        <v>553</v>
      </c>
      <c r="B201" s="13" t="s">
        <v>538</v>
      </c>
      <c r="C201" s="16" t="n">
        <v>110</v>
      </c>
      <c r="D201" s="18" t="n">
        <v>10</v>
      </c>
      <c r="E201" s="13" t="s">
        <v>243</v>
      </c>
      <c r="F201" s="13" t="str">
        <f aca="false">INDEX('Page Plan'!$E$2:$E$33,MATCH(E201,'Page Plan'!$A$2:$A$33,0))</f>
        <v>/brands/westinghouse-fridge-repair</v>
      </c>
      <c r="G201" s="13" t="str">
        <f aca="false">INDEX('Page Plan'!$G$2:$G$33,MATCH(E201,'Page Plan'!$A$2:$A$33,0))</f>
        <v>Create new</v>
      </c>
      <c r="H201" s="18" t="str">
        <f aca="false">IF(A201=INDEX('Page Plan'!$H$2:$H$33,MATCH(E201,'Page Plan'!$A$2:$A$33,0)),"Primary","Secondary")</f>
        <v>Secondary</v>
      </c>
      <c r="I201" s="13" t="str">
        <f aca="false">IF(ISNUMBER(SEARCH("Informational",B201)),IF(ISNUMBER(SEARCH("Commercial",B201)),"Money","Support"),"Money")</f>
        <v>Money</v>
      </c>
    </row>
    <row r="202" customFormat="false" ht="15" hidden="false" customHeight="false" outlineLevel="0" collapsed="false">
      <c r="A202" s="13" t="s">
        <v>554</v>
      </c>
      <c r="B202" s="13" t="s">
        <v>538</v>
      </c>
      <c r="C202" s="16" t="n">
        <v>90</v>
      </c>
      <c r="D202" s="18" t="n">
        <v>9</v>
      </c>
      <c r="E202" s="13" t="s">
        <v>243</v>
      </c>
      <c r="F202" s="13" t="str">
        <f aca="false">INDEX('Page Plan'!$E$2:$E$33,MATCH(E202,'Page Plan'!$A$2:$A$33,0))</f>
        <v>/brands/westinghouse-fridge-repair</v>
      </c>
      <c r="G202" s="13" t="str">
        <f aca="false">INDEX('Page Plan'!$G$2:$G$33,MATCH(E202,'Page Plan'!$A$2:$A$33,0))</f>
        <v>Create new</v>
      </c>
      <c r="H202" s="18" t="str">
        <f aca="false">IF(A202=INDEX('Page Plan'!$H$2:$H$33,MATCH(E202,'Page Plan'!$A$2:$A$33,0)),"Primary","Secondary")</f>
        <v>Secondary</v>
      </c>
      <c r="I202" s="13" t="str">
        <f aca="false">IF(ISNUMBER(SEARCH("Informational",B202)),IF(ISNUMBER(SEARCH("Commercial",B202)),"Money","Support"),"Money")</f>
        <v>Money</v>
      </c>
    </row>
    <row r="203" customFormat="false" ht="15" hidden="false" customHeight="false" outlineLevel="0" collapsed="false">
      <c r="A203" s="13" t="s">
        <v>555</v>
      </c>
      <c r="B203" s="13" t="s">
        <v>391</v>
      </c>
      <c r="C203" s="16" t="n">
        <v>90</v>
      </c>
      <c r="D203" s="18" t="n">
        <v>8</v>
      </c>
      <c r="E203" s="13" t="s">
        <v>243</v>
      </c>
      <c r="F203" s="13" t="str">
        <f aca="false">INDEX('Page Plan'!$E$2:$E$33,MATCH(E203,'Page Plan'!$A$2:$A$33,0))</f>
        <v>/brands/westinghouse-fridge-repair</v>
      </c>
      <c r="G203" s="13" t="str">
        <f aca="false">INDEX('Page Plan'!$G$2:$G$33,MATCH(E203,'Page Plan'!$A$2:$A$33,0))</f>
        <v>Create new</v>
      </c>
      <c r="H203" s="18" t="str">
        <f aca="false">IF(A203=INDEX('Page Plan'!$H$2:$H$33,MATCH(E203,'Page Plan'!$A$2:$A$33,0)),"Primary","Secondary")</f>
        <v>Secondary</v>
      </c>
      <c r="I203" s="13" t="str">
        <f aca="false">IF(ISNUMBER(SEARCH("Informational",B203)),IF(ISNUMBER(SEARCH("Commercial",B203)),"Money","Support"),"Money")</f>
        <v>Support</v>
      </c>
    </row>
    <row r="204" customFormat="false" ht="15" hidden="false" customHeight="false" outlineLevel="0" collapsed="false">
      <c r="A204" s="13" t="s">
        <v>556</v>
      </c>
      <c r="B204" s="13" t="s">
        <v>391</v>
      </c>
      <c r="C204" s="16" t="n">
        <v>50</v>
      </c>
      <c r="D204" s="18" t="n">
        <v>6</v>
      </c>
      <c r="E204" s="13" t="s">
        <v>243</v>
      </c>
      <c r="F204" s="13" t="str">
        <f aca="false">INDEX('Page Plan'!$E$2:$E$33,MATCH(E204,'Page Plan'!$A$2:$A$33,0))</f>
        <v>/brands/westinghouse-fridge-repair</v>
      </c>
      <c r="G204" s="13" t="str">
        <f aca="false">INDEX('Page Plan'!$G$2:$G$33,MATCH(E204,'Page Plan'!$A$2:$A$33,0))</f>
        <v>Create new</v>
      </c>
      <c r="H204" s="18" t="str">
        <f aca="false">IF(A204=INDEX('Page Plan'!$H$2:$H$33,MATCH(E204,'Page Plan'!$A$2:$A$33,0)),"Primary","Secondary")</f>
        <v>Secondary</v>
      </c>
      <c r="I204" s="13" t="str">
        <f aca="false">IF(ISNUMBER(SEARCH("Informational",B204)),IF(ISNUMBER(SEARCH("Commercial",B204)),"Money","Support"),"Money")</f>
        <v>Support</v>
      </c>
    </row>
    <row r="205" customFormat="false" ht="15" hidden="false" customHeight="false" outlineLevel="0" collapsed="false">
      <c r="A205" s="13" t="s">
        <v>255</v>
      </c>
      <c r="B205" s="13" t="s">
        <v>369</v>
      </c>
      <c r="C205" s="16" t="n">
        <v>1000</v>
      </c>
      <c r="D205" s="18" t="n">
        <v>12</v>
      </c>
      <c r="E205" s="13" t="s">
        <v>252</v>
      </c>
      <c r="F205" s="13" t="str">
        <f aca="false">INDEX('Page Plan'!$E$2:$E$33,MATCH(E205,'Page Plan'!$A$2:$A$33,0))</f>
        <v>/brands/fisher-paykel-fridge-repair</v>
      </c>
      <c r="G205" s="13" t="str">
        <f aca="false">INDEX('Page Plan'!$G$2:$G$33,MATCH(E205,'Page Plan'!$A$2:$A$33,0))</f>
        <v>Create new</v>
      </c>
      <c r="H205" s="18" t="str">
        <f aca="false">IF(A205=INDEX('Page Plan'!$H$2:$H$33,MATCH(E205,'Page Plan'!$A$2:$A$33,0)),"Primary","Secondary")</f>
        <v>Primary</v>
      </c>
      <c r="I205" s="13" t="str">
        <f aca="false">IF(ISNUMBER(SEARCH("Informational",B205)),IF(ISNUMBER(SEARCH("Commercial",B205)),"Money","Support"),"Money")</f>
        <v>Money</v>
      </c>
    </row>
    <row r="206" customFormat="false" ht="15" hidden="false" customHeight="false" outlineLevel="0" collapsed="false">
      <c r="A206" s="13" t="s">
        <v>557</v>
      </c>
      <c r="B206" s="13" t="s">
        <v>538</v>
      </c>
      <c r="C206" s="16" t="n">
        <v>720</v>
      </c>
      <c r="D206" s="18" t="n">
        <v>11</v>
      </c>
      <c r="E206" s="13" t="s">
        <v>252</v>
      </c>
      <c r="F206" s="13" t="str">
        <f aca="false">INDEX('Page Plan'!$E$2:$E$33,MATCH(E206,'Page Plan'!$A$2:$A$33,0))</f>
        <v>/brands/fisher-paykel-fridge-repair</v>
      </c>
      <c r="G206" s="13" t="str">
        <f aca="false">INDEX('Page Plan'!$G$2:$G$33,MATCH(E206,'Page Plan'!$A$2:$A$33,0))</f>
        <v>Create new</v>
      </c>
      <c r="H206" s="18" t="str">
        <f aca="false">IF(A206=INDEX('Page Plan'!$H$2:$H$33,MATCH(E206,'Page Plan'!$A$2:$A$33,0)),"Primary","Secondary")</f>
        <v>Secondary</v>
      </c>
      <c r="I206" s="13" t="str">
        <f aca="false">IF(ISNUMBER(SEARCH("Informational",B206)),IF(ISNUMBER(SEARCH("Commercial",B206)),"Money","Support"),"Money")</f>
        <v>Money</v>
      </c>
    </row>
    <row r="207" customFormat="false" ht="15" hidden="false" customHeight="false" outlineLevel="0" collapsed="false">
      <c r="A207" s="13" t="s">
        <v>558</v>
      </c>
      <c r="B207" s="13" t="s">
        <v>369</v>
      </c>
      <c r="C207" s="16" t="n">
        <v>590</v>
      </c>
      <c r="D207" s="18" t="n">
        <v>17</v>
      </c>
      <c r="E207" s="13" t="s">
        <v>252</v>
      </c>
      <c r="F207" s="13" t="str">
        <f aca="false">INDEX('Page Plan'!$E$2:$E$33,MATCH(E207,'Page Plan'!$A$2:$A$33,0))</f>
        <v>/brands/fisher-paykel-fridge-repair</v>
      </c>
      <c r="G207" s="13" t="str">
        <f aca="false">INDEX('Page Plan'!$G$2:$G$33,MATCH(E207,'Page Plan'!$A$2:$A$33,0))</f>
        <v>Create new</v>
      </c>
      <c r="H207" s="18" t="str">
        <f aca="false">IF(A207=INDEX('Page Plan'!$H$2:$H$33,MATCH(E207,'Page Plan'!$A$2:$A$33,0)),"Primary","Secondary")</f>
        <v>Secondary</v>
      </c>
      <c r="I207" s="13" t="str">
        <f aca="false">IF(ISNUMBER(SEARCH("Informational",B207)),IF(ISNUMBER(SEARCH("Commercial",B207)),"Money","Support"),"Money")</f>
        <v>Money</v>
      </c>
    </row>
    <row r="208" customFormat="false" ht="15" hidden="false" customHeight="false" outlineLevel="0" collapsed="false">
      <c r="A208" s="13" t="s">
        <v>559</v>
      </c>
      <c r="B208" s="13" t="s">
        <v>369</v>
      </c>
      <c r="C208" s="16" t="n">
        <v>590</v>
      </c>
      <c r="D208" s="18" t="n">
        <v>15</v>
      </c>
      <c r="E208" s="13" t="s">
        <v>252</v>
      </c>
      <c r="F208" s="13" t="str">
        <f aca="false">INDEX('Page Plan'!$E$2:$E$33,MATCH(E208,'Page Plan'!$A$2:$A$33,0))</f>
        <v>/brands/fisher-paykel-fridge-repair</v>
      </c>
      <c r="G208" s="13" t="str">
        <f aca="false">INDEX('Page Plan'!$G$2:$G$33,MATCH(E208,'Page Plan'!$A$2:$A$33,0))</f>
        <v>Create new</v>
      </c>
      <c r="H208" s="18" t="str">
        <f aca="false">IF(A208=INDEX('Page Plan'!$H$2:$H$33,MATCH(E208,'Page Plan'!$A$2:$A$33,0)),"Primary","Secondary")</f>
        <v>Secondary</v>
      </c>
      <c r="I208" s="13" t="str">
        <f aca="false">IF(ISNUMBER(SEARCH("Informational",B208)),IF(ISNUMBER(SEARCH("Commercial",B208)),"Money","Support"),"Money")</f>
        <v>Money</v>
      </c>
    </row>
    <row r="209" customFormat="false" ht="15" hidden="false" customHeight="false" outlineLevel="0" collapsed="false">
      <c r="A209" s="13" t="s">
        <v>560</v>
      </c>
      <c r="B209" s="13" t="s">
        <v>538</v>
      </c>
      <c r="C209" s="16" t="n">
        <v>480</v>
      </c>
      <c r="D209" s="18" t="n">
        <v>17</v>
      </c>
      <c r="E209" s="13" t="s">
        <v>252</v>
      </c>
      <c r="F209" s="13" t="str">
        <f aca="false">INDEX('Page Plan'!$E$2:$E$33,MATCH(E209,'Page Plan'!$A$2:$A$33,0))</f>
        <v>/brands/fisher-paykel-fridge-repair</v>
      </c>
      <c r="G209" s="13" t="str">
        <f aca="false">INDEX('Page Plan'!$G$2:$G$33,MATCH(E209,'Page Plan'!$A$2:$A$33,0))</f>
        <v>Create new</v>
      </c>
      <c r="H209" s="18" t="str">
        <f aca="false">IF(A209=INDEX('Page Plan'!$H$2:$H$33,MATCH(E209,'Page Plan'!$A$2:$A$33,0)),"Primary","Secondary")</f>
        <v>Secondary</v>
      </c>
      <c r="I209" s="13" t="str">
        <f aca="false">IF(ISNUMBER(SEARCH("Informational",B209)),IF(ISNUMBER(SEARCH("Commercial",B209)),"Money","Support"),"Money")</f>
        <v>Money</v>
      </c>
    </row>
    <row r="210" customFormat="false" ht="15" hidden="false" customHeight="false" outlineLevel="0" collapsed="false">
      <c r="A210" s="13" t="s">
        <v>561</v>
      </c>
      <c r="B210" s="13" t="s">
        <v>538</v>
      </c>
      <c r="C210" s="16" t="n">
        <v>210</v>
      </c>
      <c r="D210" s="18" t="n">
        <v>12</v>
      </c>
      <c r="E210" s="13" t="s">
        <v>252</v>
      </c>
      <c r="F210" s="13" t="str">
        <f aca="false">INDEX('Page Plan'!$E$2:$E$33,MATCH(E210,'Page Plan'!$A$2:$A$33,0))</f>
        <v>/brands/fisher-paykel-fridge-repair</v>
      </c>
      <c r="G210" s="13" t="str">
        <f aca="false">INDEX('Page Plan'!$G$2:$G$33,MATCH(E210,'Page Plan'!$A$2:$A$33,0))</f>
        <v>Create new</v>
      </c>
      <c r="H210" s="18" t="str">
        <f aca="false">IF(A210=INDEX('Page Plan'!$H$2:$H$33,MATCH(E210,'Page Plan'!$A$2:$A$33,0)),"Primary","Secondary")</f>
        <v>Secondary</v>
      </c>
      <c r="I210" s="13" t="str">
        <f aca="false">IF(ISNUMBER(SEARCH("Informational",B210)),IF(ISNUMBER(SEARCH("Commercial",B210)),"Money","Support"),"Money")</f>
        <v>Money</v>
      </c>
    </row>
    <row r="211" customFormat="false" ht="15" hidden="false" customHeight="false" outlineLevel="0" collapsed="false">
      <c r="A211" s="13" t="s">
        <v>562</v>
      </c>
      <c r="B211" s="13" t="s">
        <v>538</v>
      </c>
      <c r="C211" s="16" t="n">
        <v>170</v>
      </c>
      <c r="D211" s="18" t="n">
        <v>17</v>
      </c>
      <c r="E211" s="13" t="s">
        <v>252</v>
      </c>
      <c r="F211" s="13" t="str">
        <f aca="false">INDEX('Page Plan'!$E$2:$E$33,MATCH(E211,'Page Plan'!$A$2:$A$33,0))</f>
        <v>/brands/fisher-paykel-fridge-repair</v>
      </c>
      <c r="G211" s="13" t="str">
        <f aca="false">INDEX('Page Plan'!$G$2:$G$33,MATCH(E211,'Page Plan'!$A$2:$A$33,0))</f>
        <v>Create new</v>
      </c>
      <c r="H211" s="18" t="str">
        <f aca="false">IF(A211=INDEX('Page Plan'!$H$2:$H$33,MATCH(E211,'Page Plan'!$A$2:$A$33,0)),"Primary","Secondary")</f>
        <v>Secondary</v>
      </c>
      <c r="I211" s="13" t="str">
        <f aca="false">IF(ISNUMBER(SEARCH("Informational",B211)),IF(ISNUMBER(SEARCH("Commercial",B211)),"Money","Support"),"Money")</f>
        <v>Money</v>
      </c>
    </row>
    <row r="212" customFormat="false" ht="15" hidden="false" customHeight="false" outlineLevel="0" collapsed="false">
      <c r="A212" s="13" t="s">
        <v>563</v>
      </c>
      <c r="B212" s="13" t="s">
        <v>538</v>
      </c>
      <c r="C212" s="16" t="n">
        <v>140</v>
      </c>
      <c r="D212" s="18" t="n">
        <v>15</v>
      </c>
      <c r="E212" s="13" t="s">
        <v>252</v>
      </c>
      <c r="F212" s="13" t="str">
        <f aca="false">INDEX('Page Plan'!$E$2:$E$33,MATCH(E212,'Page Plan'!$A$2:$A$33,0))</f>
        <v>/brands/fisher-paykel-fridge-repair</v>
      </c>
      <c r="G212" s="13" t="str">
        <f aca="false">INDEX('Page Plan'!$G$2:$G$33,MATCH(E212,'Page Plan'!$A$2:$A$33,0))</f>
        <v>Create new</v>
      </c>
      <c r="H212" s="18" t="str">
        <f aca="false">IF(A212=INDEX('Page Plan'!$H$2:$H$33,MATCH(E212,'Page Plan'!$A$2:$A$33,0)),"Primary","Secondary")</f>
        <v>Secondary</v>
      </c>
      <c r="I212" s="13" t="str">
        <f aca="false">IF(ISNUMBER(SEARCH("Informational",B212)),IF(ISNUMBER(SEARCH("Commercial",B212)),"Money","Support"),"Money")</f>
        <v>Money</v>
      </c>
    </row>
    <row r="213" customFormat="false" ht="15" hidden="false" customHeight="false" outlineLevel="0" collapsed="false">
      <c r="A213" s="13" t="s">
        <v>564</v>
      </c>
      <c r="B213" s="13" t="s">
        <v>538</v>
      </c>
      <c r="C213" s="16" t="n">
        <v>110</v>
      </c>
      <c r="D213" s="18" t="n">
        <v>10</v>
      </c>
      <c r="E213" s="13" t="s">
        <v>252</v>
      </c>
      <c r="F213" s="13" t="str">
        <f aca="false">INDEX('Page Plan'!$E$2:$E$33,MATCH(E213,'Page Plan'!$A$2:$A$33,0))</f>
        <v>/brands/fisher-paykel-fridge-repair</v>
      </c>
      <c r="G213" s="13" t="str">
        <f aca="false">INDEX('Page Plan'!$G$2:$G$33,MATCH(E213,'Page Plan'!$A$2:$A$33,0))</f>
        <v>Create new</v>
      </c>
      <c r="H213" s="18" t="str">
        <f aca="false">IF(A213=INDEX('Page Plan'!$H$2:$H$33,MATCH(E213,'Page Plan'!$A$2:$A$33,0)),"Primary","Secondary")</f>
        <v>Secondary</v>
      </c>
      <c r="I213" s="13" t="str">
        <f aca="false">IF(ISNUMBER(SEARCH("Informational",B213)),IF(ISNUMBER(SEARCH("Commercial",B213)),"Money","Support"),"Money")</f>
        <v>Money</v>
      </c>
    </row>
    <row r="214" customFormat="false" ht="15" hidden="false" customHeight="false" outlineLevel="0" collapsed="false">
      <c r="A214" s="13" t="s">
        <v>565</v>
      </c>
      <c r="B214" s="13" t="s">
        <v>369</v>
      </c>
      <c r="C214" s="16" t="n">
        <v>90</v>
      </c>
      <c r="D214" s="18" t="n">
        <v>9</v>
      </c>
      <c r="E214" s="13" t="s">
        <v>252</v>
      </c>
      <c r="F214" s="13" t="str">
        <f aca="false">INDEX('Page Plan'!$E$2:$E$33,MATCH(E214,'Page Plan'!$A$2:$A$33,0))</f>
        <v>/brands/fisher-paykel-fridge-repair</v>
      </c>
      <c r="G214" s="13" t="str">
        <f aca="false">INDEX('Page Plan'!$G$2:$G$33,MATCH(E214,'Page Plan'!$A$2:$A$33,0))</f>
        <v>Create new</v>
      </c>
      <c r="H214" s="18" t="str">
        <f aca="false">IF(A214=INDEX('Page Plan'!$H$2:$H$33,MATCH(E214,'Page Plan'!$A$2:$A$33,0)),"Primary","Secondary")</f>
        <v>Secondary</v>
      </c>
      <c r="I214" s="13" t="str">
        <f aca="false">IF(ISNUMBER(SEARCH("Informational",B214)),IF(ISNUMBER(SEARCH("Commercial",B214)),"Money","Support"),"Money")</f>
        <v>Money</v>
      </c>
    </row>
    <row r="215" customFormat="false" ht="15" hidden="false" customHeight="false" outlineLevel="0" collapsed="false">
      <c r="A215" s="13" t="s">
        <v>264</v>
      </c>
      <c r="B215" s="13" t="s">
        <v>391</v>
      </c>
      <c r="C215" s="16" t="n">
        <v>320</v>
      </c>
      <c r="D215" s="18" t="n">
        <v>11</v>
      </c>
      <c r="E215" s="13" t="s">
        <v>261</v>
      </c>
      <c r="F215" s="13" t="str">
        <f aca="false">INDEX('Page Plan'!$E$2:$E$33,MATCH(E215,'Page Plan'!$A$2:$A$33,0))</f>
        <v>/brands/electrolux-fridge-repair</v>
      </c>
      <c r="G215" s="13" t="str">
        <f aca="false">INDEX('Page Plan'!$G$2:$G$33,MATCH(E215,'Page Plan'!$A$2:$A$33,0))</f>
        <v>Create new</v>
      </c>
      <c r="H215" s="18" t="str">
        <f aca="false">IF(A215=INDEX('Page Plan'!$H$2:$H$33,MATCH(E215,'Page Plan'!$A$2:$A$33,0)),"Primary","Secondary")</f>
        <v>Primary</v>
      </c>
      <c r="I215" s="13" t="str">
        <f aca="false">IF(ISNUMBER(SEARCH("Informational",B215)),IF(ISNUMBER(SEARCH("Commercial",B215)),"Money","Support"),"Money")</f>
        <v>Support</v>
      </c>
    </row>
    <row r="216" customFormat="false" ht="15" hidden="false" customHeight="false" outlineLevel="0" collapsed="false">
      <c r="A216" s="13" t="s">
        <v>566</v>
      </c>
      <c r="B216" s="13" t="s">
        <v>391</v>
      </c>
      <c r="C216" s="16" t="n">
        <v>320</v>
      </c>
      <c r="D216" s="18" t="n">
        <v>12</v>
      </c>
      <c r="E216" s="13" t="s">
        <v>261</v>
      </c>
      <c r="F216" s="13" t="str">
        <f aca="false">INDEX('Page Plan'!$E$2:$E$33,MATCH(E216,'Page Plan'!$A$2:$A$33,0))</f>
        <v>/brands/electrolux-fridge-repair</v>
      </c>
      <c r="G216" s="13" t="str">
        <f aca="false">INDEX('Page Plan'!$G$2:$G$33,MATCH(E216,'Page Plan'!$A$2:$A$33,0))</f>
        <v>Create new</v>
      </c>
      <c r="H216" s="18" t="str">
        <f aca="false">IF(A216=INDEX('Page Plan'!$H$2:$H$33,MATCH(E216,'Page Plan'!$A$2:$A$33,0)),"Primary","Secondary")</f>
        <v>Secondary</v>
      </c>
      <c r="I216" s="13" t="str">
        <f aca="false">IF(ISNUMBER(SEARCH("Informational",B216)),IF(ISNUMBER(SEARCH("Commercial",B216)),"Money","Support"),"Money")</f>
        <v>Support</v>
      </c>
    </row>
    <row r="217" customFormat="false" ht="15" hidden="false" customHeight="false" outlineLevel="0" collapsed="false">
      <c r="A217" s="13" t="s">
        <v>567</v>
      </c>
      <c r="B217" s="13" t="s">
        <v>369</v>
      </c>
      <c r="C217" s="16" t="n">
        <v>110</v>
      </c>
      <c r="D217" s="18" t="n">
        <v>15</v>
      </c>
      <c r="E217" s="13" t="s">
        <v>261</v>
      </c>
      <c r="F217" s="13" t="str">
        <f aca="false">INDEX('Page Plan'!$E$2:$E$33,MATCH(E217,'Page Plan'!$A$2:$A$33,0))</f>
        <v>/brands/electrolux-fridge-repair</v>
      </c>
      <c r="G217" s="13" t="str">
        <f aca="false">INDEX('Page Plan'!$G$2:$G$33,MATCH(E217,'Page Plan'!$A$2:$A$33,0))</f>
        <v>Create new</v>
      </c>
      <c r="H217" s="18" t="str">
        <f aca="false">IF(A217=INDEX('Page Plan'!$H$2:$H$33,MATCH(E217,'Page Plan'!$A$2:$A$33,0)),"Primary","Secondary")</f>
        <v>Secondary</v>
      </c>
      <c r="I217" s="13" t="str">
        <f aca="false">IF(ISNUMBER(SEARCH("Informational",B217)),IF(ISNUMBER(SEARCH("Commercial",B217)),"Money","Support"),"Money")</f>
        <v>Money</v>
      </c>
    </row>
    <row r="218" customFormat="false" ht="15" hidden="false" customHeight="false" outlineLevel="0" collapsed="false">
      <c r="A218" s="13" t="s">
        <v>568</v>
      </c>
      <c r="B218" s="13" t="s">
        <v>538</v>
      </c>
      <c r="C218" s="16" t="n">
        <v>90</v>
      </c>
      <c r="D218" s="18" t="n">
        <v>11</v>
      </c>
      <c r="E218" s="13" t="s">
        <v>261</v>
      </c>
      <c r="F218" s="13" t="str">
        <f aca="false">INDEX('Page Plan'!$E$2:$E$33,MATCH(E218,'Page Plan'!$A$2:$A$33,0))</f>
        <v>/brands/electrolux-fridge-repair</v>
      </c>
      <c r="G218" s="13" t="str">
        <f aca="false">INDEX('Page Plan'!$G$2:$G$33,MATCH(E218,'Page Plan'!$A$2:$A$33,0))</f>
        <v>Create new</v>
      </c>
      <c r="H218" s="18" t="str">
        <f aca="false">IF(A218=INDEX('Page Plan'!$H$2:$H$33,MATCH(E218,'Page Plan'!$A$2:$A$33,0)),"Primary","Secondary")</f>
        <v>Secondary</v>
      </c>
      <c r="I218" s="13" t="str">
        <f aca="false">IF(ISNUMBER(SEARCH("Informational",B218)),IF(ISNUMBER(SEARCH("Commercial",B218)),"Money","Support"),"Money")</f>
        <v>Money</v>
      </c>
    </row>
    <row r="219" customFormat="false" ht="15" hidden="false" customHeight="false" outlineLevel="0" collapsed="false">
      <c r="A219" s="13" t="s">
        <v>273</v>
      </c>
      <c r="B219" s="13" t="s">
        <v>391</v>
      </c>
      <c r="C219" s="16" t="n">
        <v>390</v>
      </c>
      <c r="D219" s="18" t="n">
        <v>13</v>
      </c>
      <c r="E219" s="13" t="s">
        <v>270</v>
      </c>
      <c r="F219" s="13" t="str">
        <f aca="false">INDEX('Page Plan'!$E$2:$E$33,MATCH(E219,'Page Plan'!$A$2:$A$33,0))</f>
        <v>/brands/haier-fridge-repair</v>
      </c>
      <c r="G219" s="13" t="str">
        <f aca="false">INDEX('Page Plan'!$G$2:$G$33,MATCH(E219,'Page Plan'!$A$2:$A$33,0))</f>
        <v>Create new</v>
      </c>
      <c r="H219" s="18" t="str">
        <f aca="false">IF(A219=INDEX('Page Plan'!$H$2:$H$33,MATCH(E219,'Page Plan'!$A$2:$A$33,0)),"Primary","Secondary")</f>
        <v>Primary</v>
      </c>
      <c r="I219" s="13" t="str">
        <f aca="false">IF(ISNUMBER(SEARCH("Informational",B219)),IF(ISNUMBER(SEARCH("Commercial",B219)),"Money","Support"),"Money")</f>
        <v>Support</v>
      </c>
    </row>
    <row r="220" customFormat="false" ht="15" hidden="false" customHeight="false" outlineLevel="0" collapsed="false">
      <c r="A220" s="13" t="s">
        <v>569</v>
      </c>
      <c r="B220" s="13" t="s">
        <v>538</v>
      </c>
      <c r="C220" s="16" t="n">
        <v>210</v>
      </c>
      <c r="D220" s="18" t="n">
        <v>12</v>
      </c>
      <c r="E220" s="13" t="s">
        <v>270</v>
      </c>
      <c r="F220" s="13" t="str">
        <f aca="false">INDEX('Page Plan'!$E$2:$E$33,MATCH(E220,'Page Plan'!$A$2:$A$33,0))</f>
        <v>/brands/haier-fridge-repair</v>
      </c>
      <c r="G220" s="13" t="str">
        <f aca="false">INDEX('Page Plan'!$G$2:$G$33,MATCH(E220,'Page Plan'!$A$2:$A$33,0))</f>
        <v>Create new</v>
      </c>
      <c r="H220" s="18" t="str">
        <f aca="false">IF(A220=INDEX('Page Plan'!$H$2:$H$33,MATCH(E220,'Page Plan'!$A$2:$A$33,0)),"Primary","Secondary")</f>
        <v>Secondary</v>
      </c>
      <c r="I220" s="13" t="str">
        <f aca="false">IF(ISNUMBER(SEARCH("Informational",B220)),IF(ISNUMBER(SEARCH("Commercial",B220)),"Money","Support"),"Money")</f>
        <v>Money</v>
      </c>
    </row>
    <row r="221" customFormat="false" ht="15" hidden="false" customHeight="false" outlineLevel="0" collapsed="false">
      <c r="A221" s="13" t="s">
        <v>570</v>
      </c>
      <c r="B221" s="13" t="s">
        <v>538</v>
      </c>
      <c r="C221" s="16" t="n">
        <v>50</v>
      </c>
      <c r="D221" s="18" t="n">
        <v>16</v>
      </c>
      <c r="E221" s="13" t="s">
        <v>270</v>
      </c>
      <c r="F221" s="13" t="str">
        <f aca="false">INDEX('Page Plan'!$E$2:$E$33,MATCH(E221,'Page Plan'!$A$2:$A$33,0))</f>
        <v>/brands/haier-fridge-repair</v>
      </c>
      <c r="G221" s="13" t="str">
        <f aca="false">INDEX('Page Plan'!$G$2:$G$33,MATCH(E221,'Page Plan'!$A$2:$A$33,0))</f>
        <v>Create new</v>
      </c>
      <c r="H221" s="18" t="str">
        <f aca="false">IF(A221=INDEX('Page Plan'!$H$2:$H$33,MATCH(E221,'Page Plan'!$A$2:$A$33,0)),"Primary","Secondary")</f>
        <v>Secondary</v>
      </c>
      <c r="I221" s="13" t="str">
        <f aca="false">IF(ISNUMBER(SEARCH("Informational",B221)),IF(ISNUMBER(SEARCH("Commercial",B221)),"Money","Support"),"Money")</f>
        <v>Money</v>
      </c>
    </row>
    <row r="222" customFormat="false" ht="15" hidden="false" customHeight="false" outlineLevel="0" collapsed="false">
      <c r="A222" s="13" t="s">
        <v>282</v>
      </c>
      <c r="B222" s="13" t="s">
        <v>391</v>
      </c>
      <c r="C222" s="16" t="n">
        <v>90</v>
      </c>
      <c r="D222" s="18" t="n">
        <v>9</v>
      </c>
      <c r="E222" s="13" t="s">
        <v>279</v>
      </c>
      <c r="F222" s="13" t="str">
        <f aca="false">INDEX('Page Plan'!$E$2:$E$33,MATCH(E222,'Page Plan'!$A$2:$A$33,0))</f>
        <v>/brands/hisense-fridge-repair</v>
      </c>
      <c r="G222" s="13" t="str">
        <f aca="false">INDEX('Page Plan'!$G$2:$G$33,MATCH(E222,'Page Plan'!$A$2:$A$33,0))</f>
        <v>Create new</v>
      </c>
      <c r="H222" s="18" t="str">
        <f aca="false">IF(A222=INDEX('Page Plan'!$H$2:$H$33,MATCH(E222,'Page Plan'!$A$2:$A$33,0)),"Primary","Secondary")</f>
        <v>Primary</v>
      </c>
      <c r="I222" s="13" t="str">
        <f aca="false">IF(ISNUMBER(SEARCH("Informational",B222)),IF(ISNUMBER(SEARCH("Commercial",B222)),"Money","Support"),"Money")</f>
        <v>Support</v>
      </c>
    </row>
    <row r="223" customFormat="false" ht="15" hidden="false" customHeight="false" outlineLevel="0" collapsed="false">
      <c r="A223" s="13" t="s">
        <v>571</v>
      </c>
      <c r="B223" s="13" t="s">
        <v>391</v>
      </c>
      <c r="C223" s="16" t="n">
        <v>90</v>
      </c>
      <c r="D223" s="18" t="n">
        <v>5</v>
      </c>
      <c r="E223" s="13" t="s">
        <v>279</v>
      </c>
      <c r="F223" s="13" t="str">
        <f aca="false">INDEX('Page Plan'!$E$2:$E$33,MATCH(E223,'Page Plan'!$A$2:$A$33,0))</f>
        <v>/brands/hisense-fridge-repair</v>
      </c>
      <c r="G223" s="13" t="str">
        <f aca="false">INDEX('Page Plan'!$G$2:$G$33,MATCH(E223,'Page Plan'!$A$2:$A$33,0))</f>
        <v>Create new</v>
      </c>
      <c r="H223" s="18" t="str">
        <f aca="false">IF(A223=INDEX('Page Plan'!$H$2:$H$33,MATCH(E223,'Page Plan'!$A$2:$A$33,0)),"Primary","Secondary")</f>
        <v>Secondary</v>
      </c>
      <c r="I223" s="13" t="str">
        <f aca="false">IF(ISNUMBER(SEARCH("Informational",B223)),IF(ISNUMBER(SEARCH("Commercial",B223)),"Money","Support"),"Money")</f>
        <v>Support</v>
      </c>
    </row>
    <row r="224" customFormat="false" ht="15" hidden="false" customHeight="false" outlineLevel="0" collapsed="false">
      <c r="A224" s="13" t="s">
        <v>572</v>
      </c>
      <c r="B224" s="13" t="s">
        <v>538</v>
      </c>
      <c r="C224" s="16" t="n">
        <v>70</v>
      </c>
      <c r="D224" s="18" t="n">
        <v>10</v>
      </c>
      <c r="E224" s="13" t="s">
        <v>279</v>
      </c>
      <c r="F224" s="13" t="str">
        <f aca="false">INDEX('Page Plan'!$E$2:$E$33,MATCH(E224,'Page Plan'!$A$2:$A$33,0))</f>
        <v>/brands/hisense-fridge-repair</v>
      </c>
      <c r="G224" s="13" t="str">
        <f aca="false">INDEX('Page Plan'!$G$2:$G$33,MATCH(E224,'Page Plan'!$A$2:$A$33,0))</f>
        <v>Create new</v>
      </c>
      <c r="H224" s="18" t="str">
        <f aca="false">IF(A224=INDEX('Page Plan'!$H$2:$H$33,MATCH(E224,'Page Plan'!$A$2:$A$33,0)),"Primary","Secondary")</f>
        <v>Secondary</v>
      </c>
      <c r="I224" s="13" t="str">
        <f aca="false">IF(ISNUMBER(SEARCH("Informational",B224)),IF(ISNUMBER(SEARCH("Commercial",B224)),"Money","Support"),"Money")</f>
        <v>Money</v>
      </c>
    </row>
    <row r="225" customFormat="false" ht="15" hidden="false" customHeight="false" outlineLevel="0" collapsed="false">
      <c r="A225" s="13" t="s">
        <v>292</v>
      </c>
      <c r="B225" s="13" t="s">
        <v>538</v>
      </c>
      <c r="C225" s="16" t="n">
        <v>480</v>
      </c>
      <c r="D225" s="18" t="n">
        <v>14</v>
      </c>
      <c r="E225" s="13" t="s">
        <v>288</v>
      </c>
      <c r="F225" s="13" t="str">
        <f aca="false">INDEX('Page Plan'!$E$2:$E$33,MATCH(E225,'Page Plan'!$A$2:$A$33,0))</f>
        <v>/brands/miele-fridge-repair</v>
      </c>
      <c r="G225" s="13" t="str">
        <f aca="false">INDEX('Page Plan'!$G$2:$G$33,MATCH(E225,'Page Plan'!$A$2:$A$33,0))</f>
        <v>Create new</v>
      </c>
      <c r="H225" s="18" t="str">
        <f aca="false">IF(A225=INDEX('Page Plan'!$H$2:$H$33,MATCH(E225,'Page Plan'!$A$2:$A$33,0)),"Primary","Secondary")</f>
        <v>Primary</v>
      </c>
      <c r="I225" s="13" t="str">
        <f aca="false">IF(ISNUMBER(SEARCH("Informational",B225)),IF(ISNUMBER(SEARCH("Commercial",B225)),"Money","Support"),"Money")</f>
        <v>Money</v>
      </c>
    </row>
    <row r="226" customFormat="false" ht="15" hidden="false" customHeight="false" outlineLevel="0" collapsed="false">
      <c r="A226" s="13" t="s">
        <v>309</v>
      </c>
      <c r="B226" s="13" t="s">
        <v>371</v>
      </c>
      <c r="C226" s="16" t="n">
        <v>110</v>
      </c>
      <c r="D226" s="18" t="n">
        <v>6</v>
      </c>
      <c r="E226" s="13" t="s">
        <v>306</v>
      </c>
      <c r="F226" s="13" t="str">
        <f aca="false">INDEX('Page Plan'!$E$2:$E$33,MATCH(E226,'Page Plan'!$A$2:$A$33,0))</f>
        <v>/areas/fridge-repair-blacktown</v>
      </c>
      <c r="G226" s="13" t="str">
        <f aca="false">INDEX('Page Plan'!$G$2:$G$33,MATCH(E226,'Page Plan'!$A$2:$A$33,0))</f>
        <v>Create new</v>
      </c>
      <c r="H226" s="18" t="str">
        <f aca="false">IF(A226=INDEX('Page Plan'!$H$2:$H$33,MATCH(E226,'Page Plan'!$A$2:$A$33,0)),"Primary","Secondary")</f>
        <v>Primary</v>
      </c>
      <c r="I226" s="13" t="str">
        <f aca="false">IF(ISNUMBER(SEARCH("Informational",B226)),IF(ISNUMBER(SEARCH("Commercial",B226)),"Money","Support"),"Money")</f>
        <v>Money</v>
      </c>
    </row>
    <row r="227" customFormat="false" ht="15" hidden="false" customHeight="false" outlineLevel="0" collapsed="false">
      <c r="A227" s="13" t="s">
        <v>573</v>
      </c>
      <c r="B227" s="13" t="s">
        <v>371</v>
      </c>
      <c r="C227" s="16" t="n">
        <v>70</v>
      </c>
      <c r="D227" s="18" t="n">
        <v>8</v>
      </c>
      <c r="E227" s="13" t="s">
        <v>306</v>
      </c>
      <c r="F227" s="13" t="str">
        <f aca="false">INDEX('Page Plan'!$E$2:$E$33,MATCH(E227,'Page Plan'!$A$2:$A$33,0))</f>
        <v>/areas/fridge-repair-blacktown</v>
      </c>
      <c r="G227" s="13" t="str">
        <f aca="false">INDEX('Page Plan'!$G$2:$G$33,MATCH(E227,'Page Plan'!$A$2:$A$33,0))</f>
        <v>Create new</v>
      </c>
      <c r="H227" s="18" t="str">
        <f aca="false">IF(A227=INDEX('Page Plan'!$H$2:$H$33,MATCH(E227,'Page Plan'!$A$2:$A$33,0)),"Primary","Secondary")</f>
        <v>Secondary</v>
      </c>
      <c r="I227" s="13" t="str">
        <f aca="false">IF(ISNUMBER(SEARCH("Informational",B227)),IF(ISNUMBER(SEARCH("Commercial",B227)),"Money","Support"),"Money")</f>
        <v>Money</v>
      </c>
    </row>
    <row r="228" customFormat="false" ht="15" hidden="false" customHeight="false" outlineLevel="0" collapsed="false">
      <c r="A228" s="13" t="s">
        <v>318</v>
      </c>
      <c r="B228" s="13" t="s">
        <v>371</v>
      </c>
      <c r="C228" s="16" t="n">
        <v>260</v>
      </c>
      <c r="D228" s="18" t="n">
        <v>5</v>
      </c>
      <c r="E228" s="13" t="s">
        <v>315</v>
      </c>
      <c r="F228" s="13" t="str">
        <f aca="false">INDEX('Page Plan'!$E$2:$E$33,MATCH(E228,'Page Plan'!$A$2:$A$33,0))</f>
        <v>/areas/fridge-repair-hills-district</v>
      </c>
      <c r="G228" s="13" t="str">
        <f aca="false">INDEX('Page Plan'!$G$2:$G$33,MATCH(E228,'Page Plan'!$A$2:$A$33,0))</f>
        <v>Create new</v>
      </c>
      <c r="H228" s="18" t="str">
        <f aca="false">IF(A228=INDEX('Page Plan'!$H$2:$H$33,MATCH(E228,'Page Plan'!$A$2:$A$33,0)),"Primary","Secondary")</f>
        <v>Primary</v>
      </c>
      <c r="I228" s="13" t="str">
        <f aca="false">IF(ISNUMBER(SEARCH("Informational",B228)),IF(ISNUMBER(SEARCH("Commercial",B228)),"Money","Support"),"Money")</f>
        <v>Money</v>
      </c>
    </row>
    <row r="229" customFormat="false" ht="15" hidden="false" customHeight="false" outlineLevel="0" collapsed="false">
      <c r="A229" s="13" t="s">
        <v>574</v>
      </c>
      <c r="B229" s="13" t="s">
        <v>371</v>
      </c>
      <c r="C229" s="16" t="n">
        <v>70</v>
      </c>
      <c r="D229" s="18" t="n">
        <v>4</v>
      </c>
      <c r="E229" s="13" t="s">
        <v>315</v>
      </c>
      <c r="F229" s="13" t="str">
        <f aca="false">INDEX('Page Plan'!$E$2:$E$33,MATCH(E229,'Page Plan'!$A$2:$A$33,0))</f>
        <v>/areas/fridge-repair-hills-district</v>
      </c>
      <c r="G229" s="13" t="str">
        <f aca="false">INDEX('Page Plan'!$G$2:$G$33,MATCH(E229,'Page Plan'!$A$2:$A$33,0))</f>
        <v>Create new</v>
      </c>
      <c r="H229" s="18" t="str">
        <f aca="false">IF(A229=INDEX('Page Plan'!$H$2:$H$33,MATCH(E229,'Page Plan'!$A$2:$A$33,0)),"Primary","Secondary")</f>
        <v>Secondary</v>
      </c>
      <c r="I229" s="13" t="str">
        <f aca="false">IF(ISNUMBER(SEARCH("Informational",B229)),IF(ISNUMBER(SEARCH("Commercial",B229)),"Money","Support"),"Money")</f>
        <v>Money</v>
      </c>
    </row>
    <row r="230" customFormat="false" ht="15" hidden="false" customHeight="false" outlineLevel="0" collapsed="false">
      <c r="A230" s="13" t="s">
        <v>575</v>
      </c>
      <c r="B230" s="13" t="s">
        <v>371</v>
      </c>
      <c r="C230" s="16" t="n">
        <v>70</v>
      </c>
      <c r="D230" s="18" t="n">
        <v>4</v>
      </c>
      <c r="E230" s="13" t="s">
        <v>315</v>
      </c>
      <c r="F230" s="13" t="str">
        <f aca="false">INDEX('Page Plan'!$E$2:$E$33,MATCH(E230,'Page Plan'!$A$2:$A$33,0))</f>
        <v>/areas/fridge-repair-hills-district</v>
      </c>
      <c r="G230" s="13" t="str">
        <f aca="false">INDEX('Page Plan'!$G$2:$G$33,MATCH(E230,'Page Plan'!$A$2:$A$33,0))</f>
        <v>Create new</v>
      </c>
      <c r="H230" s="18" t="str">
        <f aca="false">IF(A230=INDEX('Page Plan'!$H$2:$H$33,MATCH(E230,'Page Plan'!$A$2:$A$33,0)),"Primary","Secondary")</f>
        <v>Secondary</v>
      </c>
      <c r="I230" s="13" t="str">
        <f aca="false">IF(ISNUMBER(SEARCH("Informational",B230)),IF(ISNUMBER(SEARCH("Commercial",B230)),"Money","Support"),"Money")</f>
        <v>Money</v>
      </c>
    </row>
    <row r="231" customFormat="false" ht="15" hidden="false" customHeight="false" outlineLevel="0" collapsed="false">
      <c r="A231" s="13" t="s">
        <v>576</v>
      </c>
      <c r="B231" s="13" t="s">
        <v>371</v>
      </c>
      <c r="C231" s="16" t="n">
        <v>70</v>
      </c>
      <c r="D231" s="18" t="n">
        <v>4</v>
      </c>
      <c r="E231" s="13" t="s">
        <v>315</v>
      </c>
      <c r="F231" s="13" t="str">
        <f aca="false">INDEX('Page Plan'!$E$2:$E$33,MATCH(E231,'Page Plan'!$A$2:$A$33,0))</f>
        <v>/areas/fridge-repair-hills-district</v>
      </c>
      <c r="G231" s="13" t="str">
        <f aca="false">INDEX('Page Plan'!$G$2:$G$33,MATCH(E231,'Page Plan'!$A$2:$A$33,0))</f>
        <v>Create new</v>
      </c>
      <c r="H231" s="18" t="str">
        <f aca="false">IF(A231=INDEX('Page Plan'!$H$2:$H$33,MATCH(E231,'Page Plan'!$A$2:$A$33,0)),"Primary","Secondary")</f>
        <v>Secondary</v>
      </c>
      <c r="I231" s="13" t="str">
        <f aca="false">IF(ISNUMBER(SEARCH("Informational",B231)),IF(ISNUMBER(SEARCH("Commercial",B231)),"Money","Support"),"Money")</f>
        <v>Money</v>
      </c>
    </row>
    <row r="232" customFormat="false" ht="15" hidden="false" customHeight="false" outlineLevel="0" collapsed="false">
      <c r="A232" s="13" t="s">
        <v>328</v>
      </c>
      <c r="B232" s="13" t="s">
        <v>371</v>
      </c>
      <c r="C232" s="16" t="n">
        <v>170</v>
      </c>
      <c r="D232" s="18" t="n">
        <v>5</v>
      </c>
      <c r="E232" s="13" t="s">
        <v>324</v>
      </c>
      <c r="F232" s="13" t="str">
        <f aca="false">INDEX('Page Plan'!$E$2:$E$33,MATCH(E232,'Page Plan'!$A$2:$A$33,0))</f>
        <v>/areas/fridge-repair-western-sydney</v>
      </c>
      <c r="G232" s="13" t="str">
        <f aca="false">INDEX('Page Plan'!$G$2:$G$33,MATCH(E232,'Page Plan'!$A$2:$A$33,0))</f>
        <v>Create new (conditional)</v>
      </c>
      <c r="H232" s="18" t="str">
        <f aca="false">IF(A232=INDEX('Page Plan'!$H$2:$H$33,MATCH(E232,'Page Plan'!$A$2:$A$33,0)),"Primary","Secondary")</f>
        <v>Primary</v>
      </c>
      <c r="I232" s="13" t="str">
        <f aca="false">IF(ISNUMBER(SEARCH("Informational",B232)),IF(ISNUMBER(SEARCH("Commercial",B232)),"Money","Support"),"Money")</f>
        <v>Money</v>
      </c>
    </row>
    <row r="233" customFormat="false" ht="15" hidden="false" customHeight="false" outlineLevel="0" collapsed="false">
      <c r="A233" s="13" t="s">
        <v>577</v>
      </c>
      <c r="B233" s="13" t="s">
        <v>371</v>
      </c>
      <c r="C233" s="16" t="n">
        <v>140</v>
      </c>
      <c r="D233" s="18" t="n">
        <v>7</v>
      </c>
      <c r="E233" s="13" t="s">
        <v>324</v>
      </c>
      <c r="F233" s="13" t="str">
        <f aca="false">INDEX('Page Plan'!$E$2:$E$33,MATCH(E233,'Page Plan'!$A$2:$A$33,0))</f>
        <v>/areas/fridge-repair-western-sydney</v>
      </c>
      <c r="G233" s="13" t="str">
        <f aca="false">INDEX('Page Plan'!$G$2:$G$33,MATCH(E233,'Page Plan'!$A$2:$A$33,0))</f>
        <v>Create new (conditional)</v>
      </c>
      <c r="H233" s="18" t="str">
        <f aca="false">IF(A233=INDEX('Page Plan'!$H$2:$H$33,MATCH(E233,'Page Plan'!$A$2:$A$33,0)),"Primary","Secondary")</f>
        <v>Secondary</v>
      </c>
      <c r="I233" s="13" t="str">
        <f aca="false">IF(ISNUMBER(SEARCH("Informational",B233)),IF(ISNUMBER(SEARCH("Commercial",B233)),"Money","Support"),"Money")</f>
        <v>Money</v>
      </c>
    </row>
    <row r="234" customFormat="false" ht="15" hidden="false" customHeight="false" outlineLevel="0" collapsed="false">
      <c r="A234" s="13" t="s">
        <v>578</v>
      </c>
      <c r="B234" s="13" t="s">
        <v>371</v>
      </c>
      <c r="C234" s="16" t="n">
        <v>90</v>
      </c>
      <c r="D234" s="18" t="n">
        <v>7</v>
      </c>
      <c r="E234" s="13" t="s">
        <v>324</v>
      </c>
      <c r="F234" s="13" t="str">
        <f aca="false">INDEX('Page Plan'!$E$2:$E$33,MATCH(E234,'Page Plan'!$A$2:$A$33,0))</f>
        <v>/areas/fridge-repair-western-sydney</v>
      </c>
      <c r="G234" s="13" t="str">
        <f aca="false">INDEX('Page Plan'!$G$2:$G$33,MATCH(E234,'Page Plan'!$A$2:$A$33,0))</f>
        <v>Create new (conditional)</v>
      </c>
      <c r="H234" s="18" t="str">
        <f aca="false">IF(A234=INDEX('Page Plan'!$H$2:$H$33,MATCH(E234,'Page Plan'!$A$2:$A$33,0)),"Primary","Secondary")</f>
        <v>Secondary</v>
      </c>
      <c r="I234" s="13" t="str">
        <f aca="false">IF(ISNUMBER(SEARCH("Informational",B234)),IF(ISNUMBER(SEARCH("Commercial",B234)),"Money","Support"),"Money")</f>
        <v>Money</v>
      </c>
    </row>
    <row r="235" customFormat="false" ht="15" hidden="false" customHeight="false" outlineLevel="0" collapsed="false">
      <c r="A235" s="13" t="s">
        <v>579</v>
      </c>
      <c r="B235" s="13" t="s">
        <v>371</v>
      </c>
      <c r="C235" s="16" t="n">
        <v>70</v>
      </c>
      <c r="D235" s="18" t="n">
        <v>6</v>
      </c>
      <c r="E235" s="13" t="s">
        <v>324</v>
      </c>
      <c r="F235" s="13" t="str">
        <f aca="false">INDEX('Page Plan'!$E$2:$E$33,MATCH(E235,'Page Plan'!$A$2:$A$33,0))</f>
        <v>/areas/fridge-repair-western-sydney</v>
      </c>
      <c r="G235" s="13" t="str">
        <f aca="false">INDEX('Page Plan'!$G$2:$G$33,MATCH(E235,'Page Plan'!$A$2:$A$33,0))</f>
        <v>Create new (conditional)</v>
      </c>
      <c r="H235" s="18" t="str">
        <f aca="false">IF(A235=INDEX('Page Plan'!$H$2:$H$33,MATCH(E235,'Page Plan'!$A$2:$A$33,0)),"Primary","Secondary")</f>
        <v>Secondary</v>
      </c>
      <c r="I235" s="13" t="str">
        <f aca="false">IF(ISNUMBER(SEARCH("Informational",B235)),IF(ISNUMBER(SEARCH("Commercial",B235)),"Money","Support"),"Money")</f>
        <v>Money</v>
      </c>
    </row>
    <row r="236" customFormat="false" ht="15" hidden="false" customHeight="false" outlineLevel="0" collapsed="false">
      <c r="A236" s="13" t="s">
        <v>580</v>
      </c>
      <c r="B236" s="13" t="s">
        <v>371</v>
      </c>
      <c r="C236" s="16" t="n">
        <v>50</v>
      </c>
      <c r="D236" s="18" t="n">
        <v>6</v>
      </c>
      <c r="E236" s="13" t="s">
        <v>324</v>
      </c>
      <c r="F236" s="13" t="str">
        <f aca="false">INDEX('Page Plan'!$E$2:$E$33,MATCH(E236,'Page Plan'!$A$2:$A$33,0))</f>
        <v>/areas/fridge-repair-western-sydney</v>
      </c>
      <c r="G236" s="13" t="str">
        <f aca="false">INDEX('Page Plan'!$G$2:$G$33,MATCH(E236,'Page Plan'!$A$2:$A$33,0))</f>
        <v>Create new (conditional)</v>
      </c>
      <c r="H236" s="18" t="str">
        <f aca="false">IF(A236=INDEX('Page Plan'!$H$2:$H$33,MATCH(E236,'Page Plan'!$A$2:$A$33,0)),"Primary","Secondary")</f>
        <v>Secondary</v>
      </c>
      <c r="I236" s="13" t="str">
        <f aca="false">IF(ISNUMBER(SEARCH("Informational",B236)),IF(ISNUMBER(SEARCH("Commercial",B236)),"Money","Support"),"Money")</f>
        <v>Money</v>
      </c>
    </row>
    <row r="237" customFormat="false" ht="15" hidden="false" customHeight="false" outlineLevel="0" collapsed="false">
      <c r="A237" s="13" t="s">
        <v>581</v>
      </c>
      <c r="B237" s="13" t="s">
        <v>371</v>
      </c>
      <c r="C237" s="16" t="n">
        <v>50</v>
      </c>
      <c r="D237" s="18" t="n">
        <v>4</v>
      </c>
      <c r="E237" s="13" t="s">
        <v>324</v>
      </c>
      <c r="F237" s="13" t="str">
        <f aca="false">INDEX('Page Plan'!$E$2:$E$33,MATCH(E237,'Page Plan'!$A$2:$A$33,0))</f>
        <v>/areas/fridge-repair-western-sydney</v>
      </c>
      <c r="G237" s="13" t="str">
        <f aca="false">INDEX('Page Plan'!$G$2:$G$33,MATCH(E237,'Page Plan'!$A$2:$A$33,0))</f>
        <v>Create new (conditional)</v>
      </c>
      <c r="H237" s="18" t="str">
        <f aca="false">IF(A237=INDEX('Page Plan'!$H$2:$H$33,MATCH(E237,'Page Plan'!$A$2:$A$33,0)),"Primary","Secondary")</f>
        <v>Secondary</v>
      </c>
      <c r="I237" s="13" t="str">
        <f aca="false">IF(ISNUMBER(SEARCH("Informational",B237)),IF(ISNUMBER(SEARCH("Commercial",B237)),"Money","Support"),"Money")</f>
        <v>Money</v>
      </c>
    </row>
    <row r="238" customFormat="false" ht="15" hidden="false" customHeight="false" outlineLevel="0" collapsed="false">
      <c r="A238" s="13" t="s">
        <v>582</v>
      </c>
      <c r="B238" s="13" t="s">
        <v>371</v>
      </c>
      <c r="C238" s="16" t="n">
        <v>50</v>
      </c>
      <c r="D238" s="18" t="n">
        <v>6</v>
      </c>
      <c r="E238" s="13" t="s">
        <v>324</v>
      </c>
      <c r="F238" s="13" t="str">
        <f aca="false">INDEX('Page Plan'!$E$2:$E$33,MATCH(E238,'Page Plan'!$A$2:$A$33,0))</f>
        <v>/areas/fridge-repair-western-sydney</v>
      </c>
      <c r="G238" s="13" t="str">
        <f aca="false">INDEX('Page Plan'!$G$2:$G$33,MATCH(E238,'Page Plan'!$A$2:$A$33,0))</f>
        <v>Create new (conditional)</v>
      </c>
      <c r="H238" s="18" t="str">
        <f aca="false">IF(A238=INDEX('Page Plan'!$H$2:$H$33,MATCH(E238,'Page Plan'!$A$2:$A$33,0)),"Primary","Secondary")</f>
        <v>Secondary</v>
      </c>
      <c r="I238" s="13" t="str">
        <f aca="false">IF(ISNUMBER(SEARCH("Informational",B238)),IF(ISNUMBER(SEARCH("Commercial",B238)),"Money","Support"),"Money")</f>
        <v>Money</v>
      </c>
    </row>
    <row r="239" customFormat="false" ht="15" hidden="false" customHeight="false" outlineLevel="0" collapsed="false">
      <c r="A239" s="13" t="s">
        <v>583</v>
      </c>
      <c r="B239" s="13" t="s">
        <v>371</v>
      </c>
      <c r="C239" s="16" t="n">
        <v>50</v>
      </c>
      <c r="D239" s="18" t="n">
        <v>5</v>
      </c>
      <c r="E239" s="13" t="s">
        <v>324</v>
      </c>
      <c r="F239" s="13" t="str">
        <f aca="false">INDEX('Page Plan'!$E$2:$E$33,MATCH(E239,'Page Plan'!$A$2:$A$33,0))</f>
        <v>/areas/fridge-repair-western-sydney</v>
      </c>
      <c r="G239" s="13" t="str">
        <f aca="false">INDEX('Page Plan'!$G$2:$G$33,MATCH(E239,'Page Plan'!$A$2:$A$33,0))</f>
        <v>Create new (conditional)</v>
      </c>
      <c r="H239" s="18" t="str">
        <f aca="false">IF(A239=INDEX('Page Plan'!$H$2:$H$33,MATCH(E239,'Page Plan'!$A$2:$A$33,0)),"Primary","Secondary")</f>
        <v>Secondary</v>
      </c>
      <c r="I239" s="13" t="str">
        <f aca="false">IF(ISNUMBER(SEARCH("Informational",B239)),IF(ISNUMBER(SEARCH("Commercial",B239)),"Money","Support"),"Money")</f>
        <v>Money</v>
      </c>
    </row>
    <row r="240" customFormat="false" ht="15" hidden="false" customHeight="false" outlineLevel="0" collapsed="false">
      <c r="A240" s="13" t="s">
        <v>584</v>
      </c>
      <c r="B240" s="13" t="s">
        <v>371</v>
      </c>
      <c r="C240" s="16" t="n">
        <v>50</v>
      </c>
      <c r="D240" s="18" t="n">
        <v>6</v>
      </c>
      <c r="E240" s="13" t="s">
        <v>324</v>
      </c>
      <c r="F240" s="13" t="str">
        <f aca="false">INDEX('Page Plan'!$E$2:$E$33,MATCH(E240,'Page Plan'!$A$2:$A$33,0))</f>
        <v>/areas/fridge-repair-western-sydney</v>
      </c>
      <c r="G240" s="13" t="str">
        <f aca="false">INDEX('Page Plan'!$G$2:$G$33,MATCH(E240,'Page Plan'!$A$2:$A$33,0))</f>
        <v>Create new (conditional)</v>
      </c>
      <c r="H240" s="18" t="str">
        <f aca="false">IF(A240=INDEX('Page Plan'!$H$2:$H$33,MATCH(E240,'Page Plan'!$A$2:$A$33,0)),"Primary","Secondary")</f>
        <v>Secondary</v>
      </c>
      <c r="I240" s="13" t="str">
        <f aca="false">IF(ISNUMBER(SEARCH("Informational",B240)),IF(ISNUMBER(SEARCH("Commercial",B240)),"Money","Support"),"Money")</f>
        <v>Money</v>
      </c>
    </row>
    <row r="241" customFormat="false" ht="15" hidden="false" customHeight="false" outlineLevel="0" collapsed="false">
      <c r="A241" s="13" t="s">
        <v>585</v>
      </c>
      <c r="B241" s="13" t="s">
        <v>391</v>
      </c>
      <c r="C241" s="16" t="n">
        <v>50</v>
      </c>
      <c r="D241" s="18" t="n">
        <v>14</v>
      </c>
      <c r="E241" s="13" t="s">
        <v>324</v>
      </c>
      <c r="F241" s="13" t="str">
        <f aca="false">INDEX('Page Plan'!$E$2:$E$33,MATCH(E241,'Page Plan'!$A$2:$A$33,0))</f>
        <v>/areas/fridge-repair-western-sydney</v>
      </c>
      <c r="G241" s="13" t="str">
        <f aca="false">INDEX('Page Plan'!$G$2:$G$33,MATCH(E241,'Page Plan'!$A$2:$A$33,0))</f>
        <v>Create new (conditional)</v>
      </c>
      <c r="H241" s="18" t="str">
        <f aca="false">IF(A241=INDEX('Page Plan'!$H$2:$H$33,MATCH(E241,'Page Plan'!$A$2:$A$33,0)),"Primary","Secondary")</f>
        <v>Secondary</v>
      </c>
      <c r="I241" s="13" t="str">
        <f aca="false">IF(ISNUMBER(SEARCH("Informational",B241)),IF(ISNUMBER(SEARCH("Commercial",B241)),"Money","Support"),"Money")</f>
        <v>Support</v>
      </c>
    </row>
    <row r="242" customFormat="false" ht="15" hidden="false" customHeight="false" outlineLevel="0" collapsed="false">
      <c r="A242" s="13" t="s">
        <v>586</v>
      </c>
      <c r="B242" s="13" t="s">
        <v>391</v>
      </c>
      <c r="C242" s="16" t="n">
        <v>50</v>
      </c>
      <c r="D242" s="18" t="n">
        <v>10</v>
      </c>
      <c r="E242" s="13" t="s">
        <v>324</v>
      </c>
      <c r="F242" s="13" t="str">
        <f aca="false">INDEX('Page Plan'!$E$2:$E$33,MATCH(E242,'Page Plan'!$A$2:$A$33,0))</f>
        <v>/areas/fridge-repair-western-sydney</v>
      </c>
      <c r="G242" s="13" t="str">
        <f aca="false">INDEX('Page Plan'!$G$2:$G$33,MATCH(E242,'Page Plan'!$A$2:$A$33,0))</f>
        <v>Create new (conditional)</v>
      </c>
      <c r="H242" s="18" t="str">
        <f aca="false">IF(A242=INDEX('Page Plan'!$H$2:$H$33,MATCH(E242,'Page Plan'!$A$2:$A$33,0)),"Primary","Secondary")</f>
        <v>Secondary</v>
      </c>
      <c r="I242" s="13" t="str">
        <f aca="false">IF(ISNUMBER(SEARCH("Informational",B242)),IF(ISNUMBER(SEARCH("Commercial",B242)),"Money","Support"),"Money")</f>
        <v>Support</v>
      </c>
    </row>
    <row r="243" customFormat="false" ht="15" hidden="false" customHeight="false" outlineLevel="0" collapsed="false">
      <c r="A243" s="13" t="s">
        <v>337</v>
      </c>
      <c r="B243" s="13" t="s">
        <v>391</v>
      </c>
      <c r="C243" s="16" t="n">
        <v>260</v>
      </c>
      <c r="D243" s="18" t="n">
        <v>17</v>
      </c>
      <c r="E243" s="13" t="s">
        <v>334</v>
      </c>
      <c r="F243" s="13" t="str">
        <f aca="false">INDEX('Page Plan'!$E$2:$E$33,MATCH(E243,'Page Plan'!$A$2:$A$33,0))</f>
        <v>/blog/why-is-my-fridge-leaking-water</v>
      </c>
      <c r="G243" s="13" t="str">
        <f aca="false">INDEX('Page Plan'!$G$2:$G$33,MATCH(E243,'Page Plan'!$A$2:$A$33,0))</f>
        <v>Create new</v>
      </c>
      <c r="H243" s="18" t="str">
        <f aca="false">IF(A243=INDEX('Page Plan'!$H$2:$H$33,MATCH(E243,'Page Plan'!$A$2:$A$33,0)),"Primary","Secondary")</f>
        <v>Primary</v>
      </c>
      <c r="I243" s="13" t="str">
        <f aca="false">IF(ISNUMBER(SEARCH("Informational",B243)),IF(ISNUMBER(SEARCH("Commercial",B243)),"Money","Support"),"Money")</f>
        <v>Support</v>
      </c>
    </row>
    <row r="244" customFormat="false" ht="15" hidden="false" customHeight="false" outlineLevel="0" collapsed="false">
      <c r="A244" s="13" t="s">
        <v>587</v>
      </c>
      <c r="B244" s="13" t="s">
        <v>391</v>
      </c>
      <c r="C244" s="16" t="n">
        <v>170</v>
      </c>
      <c r="D244" s="18" t="n">
        <v>18</v>
      </c>
      <c r="E244" s="13" t="s">
        <v>334</v>
      </c>
      <c r="F244" s="13" t="str">
        <f aca="false">INDEX('Page Plan'!$E$2:$E$33,MATCH(E244,'Page Plan'!$A$2:$A$33,0))</f>
        <v>/blog/why-is-my-fridge-leaking-water</v>
      </c>
      <c r="G244" s="13" t="str">
        <f aca="false">INDEX('Page Plan'!$G$2:$G$33,MATCH(E244,'Page Plan'!$A$2:$A$33,0))</f>
        <v>Create new</v>
      </c>
      <c r="H244" s="18" t="str">
        <f aca="false">IF(A244=INDEX('Page Plan'!$H$2:$H$33,MATCH(E244,'Page Plan'!$A$2:$A$33,0)),"Primary","Secondary")</f>
        <v>Secondary</v>
      </c>
      <c r="I244" s="13" t="str">
        <f aca="false">IF(ISNUMBER(SEARCH("Informational",B244)),IF(ISNUMBER(SEARCH("Commercial",B244)),"Money","Support"),"Money")</f>
        <v>Support</v>
      </c>
    </row>
    <row r="245" customFormat="false" ht="15" hidden="false" customHeight="false" outlineLevel="0" collapsed="false">
      <c r="A245" s="13" t="s">
        <v>588</v>
      </c>
      <c r="B245" s="13" t="s">
        <v>391</v>
      </c>
      <c r="C245" s="16" t="n">
        <v>110</v>
      </c>
      <c r="D245" s="18" t="n">
        <v>12</v>
      </c>
      <c r="E245" s="13" t="s">
        <v>334</v>
      </c>
      <c r="F245" s="13" t="str">
        <f aca="false">INDEX('Page Plan'!$E$2:$E$33,MATCH(E245,'Page Plan'!$A$2:$A$33,0))</f>
        <v>/blog/why-is-my-fridge-leaking-water</v>
      </c>
      <c r="G245" s="13" t="str">
        <f aca="false">INDEX('Page Plan'!$G$2:$G$33,MATCH(E245,'Page Plan'!$A$2:$A$33,0))</f>
        <v>Create new</v>
      </c>
      <c r="H245" s="18" t="str">
        <f aca="false">IF(A245=INDEX('Page Plan'!$H$2:$H$33,MATCH(E245,'Page Plan'!$A$2:$A$33,0)),"Primary","Secondary")</f>
        <v>Secondary</v>
      </c>
      <c r="I245" s="13" t="str">
        <f aca="false">IF(ISNUMBER(SEARCH("Informational",B245)),IF(ISNUMBER(SEARCH("Commercial",B245)),"Money","Support"),"Money")</f>
        <v>Support</v>
      </c>
    </row>
    <row r="246" customFormat="false" ht="15" hidden="false" customHeight="false" outlineLevel="0" collapsed="false">
      <c r="A246" s="13" t="s">
        <v>589</v>
      </c>
      <c r="B246" s="13" t="s">
        <v>391</v>
      </c>
      <c r="C246" s="16" t="n">
        <v>110</v>
      </c>
      <c r="D246" s="18" t="n">
        <v>19</v>
      </c>
      <c r="E246" s="13" t="s">
        <v>334</v>
      </c>
      <c r="F246" s="13" t="str">
        <f aca="false">INDEX('Page Plan'!$E$2:$E$33,MATCH(E246,'Page Plan'!$A$2:$A$33,0))</f>
        <v>/blog/why-is-my-fridge-leaking-water</v>
      </c>
      <c r="G246" s="13" t="str">
        <f aca="false">INDEX('Page Plan'!$G$2:$G$33,MATCH(E246,'Page Plan'!$A$2:$A$33,0))</f>
        <v>Create new</v>
      </c>
      <c r="H246" s="18" t="str">
        <f aca="false">IF(A246=INDEX('Page Plan'!$H$2:$H$33,MATCH(E246,'Page Plan'!$A$2:$A$33,0)),"Primary","Secondary")</f>
        <v>Secondary</v>
      </c>
      <c r="I246" s="13" t="str">
        <f aca="false">IF(ISNUMBER(SEARCH("Informational",B246)),IF(ISNUMBER(SEARCH("Commercial",B246)),"Money","Support"),"Money")</f>
        <v>Support</v>
      </c>
    </row>
    <row r="247" customFormat="false" ht="15" hidden="false" customHeight="false" outlineLevel="0" collapsed="false">
      <c r="A247" s="13" t="s">
        <v>590</v>
      </c>
      <c r="B247" s="13" t="s">
        <v>391</v>
      </c>
      <c r="C247" s="16" t="n">
        <v>90</v>
      </c>
      <c r="D247" s="18" t="n">
        <v>15</v>
      </c>
      <c r="E247" s="13" t="s">
        <v>334</v>
      </c>
      <c r="F247" s="13" t="str">
        <f aca="false">INDEX('Page Plan'!$E$2:$E$33,MATCH(E247,'Page Plan'!$A$2:$A$33,0))</f>
        <v>/blog/why-is-my-fridge-leaking-water</v>
      </c>
      <c r="G247" s="13" t="str">
        <f aca="false">INDEX('Page Plan'!$G$2:$G$33,MATCH(E247,'Page Plan'!$A$2:$A$33,0))</f>
        <v>Create new</v>
      </c>
      <c r="H247" s="18" t="str">
        <f aca="false">IF(A247=INDEX('Page Plan'!$H$2:$H$33,MATCH(E247,'Page Plan'!$A$2:$A$33,0)),"Primary","Secondary")</f>
        <v>Secondary</v>
      </c>
      <c r="I247" s="13" t="str">
        <f aca="false">IF(ISNUMBER(SEARCH("Informational",B247)),IF(ISNUMBER(SEARCH("Commercial",B247)),"Money","Support"),"Money")</f>
        <v>Support</v>
      </c>
    </row>
    <row r="248" customFormat="false" ht="15" hidden="false" customHeight="false" outlineLevel="0" collapsed="false">
      <c r="A248" s="13" t="s">
        <v>591</v>
      </c>
      <c r="B248" s="13" t="s">
        <v>391</v>
      </c>
      <c r="C248" s="16" t="n">
        <v>90</v>
      </c>
      <c r="D248" s="18" t="n">
        <v>16</v>
      </c>
      <c r="E248" s="13" t="s">
        <v>334</v>
      </c>
      <c r="F248" s="13" t="str">
        <f aca="false">INDEX('Page Plan'!$E$2:$E$33,MATCH(E248,'Page Plan'!$A$2:$A$33,0))</f>
        <v>/blog/why-is-my-fridge-leaking-water</v>
      </c>
      <c r="G248" s="13" t="str">
        <f aca="false">INDEX('Page Plan'!$G$2:$G$33,MATCH(E248,'Page Plan'!$A$2:$A$33,0))</f>
        <v>Create new</v>
      </c>
      <c r="H248" s="18" t="str">
        <f aca="false">IF(A248=INDEX('Page Plan'!$H$2:$H$33,MATCH(E248,'Page Plan'!$A$2:$A$33,0)),"Primary","Secondary")</f>
        <v>Secondary</v>
      </c>
      <c r="I248" s="13" t="str">
        <f aca="false">IF(ISNUMBER(SEARCH("Informational",B248)),IF(ISNUMBER(SEARCH("Commercial",B248)),"Money","Support"),"Money")</f>
        <v>Support</v>
      </c>
    </row>
    <row r="249" customFormat="false" ht="15" hidden="false" customHeight="false" outlineLevel="0" collapsed="false">
      <c r="A249" s="13" t="s">
        <v>592</v>
      </c>
      <c r="B249" s="13" t="s">
        <v>391</v>
      </c>
      <c r="C249" s="16" t="n">
        <v>90</v>
      </c>
      <c r="D249" s="18" t="n">
        <v>19</v>
      </c>
      <c r="E249" s="13" t="s">
        <v>334</v>
      </c>
      <c r="F249" s="13" t="str">
        <f aca="false">INDEX('Page Plan'!$E$2:$E$33,MATCH(E249,'Page Plan'!$A$2:$A$33,0))</f>
        <v>/blog/why-is-my-fridge-leaking-water</v>
      </c>
      <c r="G249" s="13" t="str">
        <f aca="false">INDEX('Page Plan'!$G$2:$G$33,MATCH(E249,'Page Plan'!$A$2:$A$33,0))</f>
        <v>Create new</v>
      </c>
      <c r="H249" s="18" t="str">
        <f aca="false">IF(A249=INDEX('Page Plan'!$H$2:$H$33,MATCH(E249,'Page Plan'!$A$2:$A$33,0)),"Primary","Secondary")</f>
        <v>Secondary</v>
      </c>
      <c r="I249" s="13" t="str">
        <f aca="false">IF(ISNUMBER(SEARCH("Informational",B249)),IF(ISNUMBER(SEARCH("Commercial",B249)),"Money","Support"),"Money")</f>
        <v>Support</v>
      </c>
    </row>
    <row r="250" customFormat="false" ht="15" hidden="false" customHeight="false" outlineLevel="0" collapsed="false">
      <c r="A250" s="13" t="s">
        <v>593</v>
      </c>
      <c r="B250" s="13" t="s">
        <v>391</v>
      </c>
      <c r="C250" s="16" t="n">
        <v>70</v>
      </c>
      <c r="D250" s="18" t="n">
        <v>17</v>
      </c>
      <c r="E250" s="13" t="s">
        <v>334</v>
      </c>
      <c r="F250" s="13" t="str">
        <f aca="false">INDEX('Page Plan'!$E$2:$E$33,MATCH(E250,'Page Plan'!$A$2:$A$33,0))</f>
        <v>/blog/why-is-my-fridge-leaking-water</v>
      </c>
      <c r="G250" s="13" t="str">
        <f aca="false">INDEX('Page Plan'!$G$2:$G$33,MATCH(E250,'Page Plan'!$A$2:$A$33,0))</f>
        <v>Create new</v>
      </c>
      <c r="H250" s="18" t="str">
        <f aca="false">IF(A250=INDEX('Page Plan'!$H$2:$H$33,MATCH(E250,'Page Plan'!$A$2:$A$33,0)),"Primary","Secondary")</f>
        <v>Secondary</v>
      </c>
      <c r="I250" s="13" t="str">
        <f aca="false">IF(ISNUMBER(SEARCH("Informational",B250)),IF(ISNUMBER(SEARCH("Commercial",B250)),"Money","Support"),"Money")</f>
        <v>Support</v>
      </c>
    </row>
    <row r="251" customFormat="false" ht="15" hidden="false" customHeight="false" outlineLevel="0" collapsed="false">
      <c r="A251" s="13" t="s">
        <v>594</v>
      </c>
      <c r="B251" s="13" t="s">
        <v>391</v>
      </c>
      <c r="C251" s="16" t="n">
        <v>70</v>
      </c>
      <c r="D251" s="18" t="n">
        <v>18</v>
      </c>
      <c r="E251" s="13" t="s">
        <v>334</v>
      </c>
      <c r="F251" s="13" t="str">
        <f aca="false">INDEX('Page Plan'!$E$2:$E$33,MATCH(E251,'Page Plan'!$A$2:$A$33,0))</f>
        <v>/blog/why-is-my-fridge-leaking-water</v>
      </c>
      <c r="G251" s="13" t="str">
        <f aca="false">INDEX('Page Plan'!$G$2:$G$33,MATCH(E251,'Page Plan'!$A$2:$A$33,0))</f>
        <v>Create new</v>
      </c>
      <c r="H251" s="18" t="str">
        <f aca="false">IF(A251=INDEX('Page Plan'!$H$2:$H$33,MATCH(E251,'Page Plan'!$A$2:$A$33,0)),"Primary","Secondary")</f>
        <v>Secondary</v>
      </c>
      <c r="I251" s="13" t="str">
        <f aca="false">IF(ISNUMBER(SEARCH("Informational",B251)),IF(ISNUMBER(SEARCH("Commercial",B251)),"Money","Support"),"Money")</f>
        <v>Support</v>
      </c>
    </row>
    <row r="252" customFormat="false" ht="15" hidden="false" customHeight="false" outlineLevel="0" collapsed="false">
      <c r="A252" s="13" t="s">
        <v>346</v>
      </c>
      <c r="B252" s="13" t="s">
        <v>391</v>
      </c>
      <c r="C252" s="16" t="n">
        <v>110</v>
      </c>
      <c r="D252" s="18" t="n">
        <v>15</v>
      </c>
      <c r="E252" s="13" t="s">
        <v>343</v>
      </c>
      <c r="F252" s="13" t="str">
        <f aca="false">INDEX('Page Plan'!$E$2:$E$33,MATCH(E252,'Page Plan'!$A$2:$A$33,0))</f>
        <v>/blog/freezer-not-freezing</v>
      </c>
      <c r="G252" s="13" t="str">
        <f aca="false">INDEX('Page Plan'!$G$2:$G$33,MATCH(E252,'Page Plan'!$A$2:$A$33,0))</f>
        <v>Create new</v>
      </c>
      <c r="H252" s="18" t="str">
        <f aca="false">IF(A252=INDEX('Page Plan'!$H$2:$H$33,MATCH(E252,'Page Plan'!$A$2:$A$33,0)),"Primary","Secondary")</f>
        <v>Primary</v>
      </c>
      <c r="I252" s="13" t="str">
        <f aca="false">IF(ISNUMBER(SEARCH("Informational",B252)),IF(ISNUMBER(SEARCH("Commercial",B252)),"Money","Support"),"Money")</f>
        <v>Support</v>
      </c>
    </row>
    <row r="253" customFormat="false" ht="15" hidden="false" customHeight="false" outlineLevel="0" collapsed="false">
      <c r="A253" s="13" t="s">
        <v>595</v>
      </c>
      <c r="B253" s="13" t="s">
        <v>391</v>
      </c>
      <c r="C253" s="16" t="n">
        <v>50</v>
      </c>
      <c r="D253" s="18" t="n">
        <v>13</v>
      </c>
      <c r="E253" s="13" t="s">
        <v>343</v>
      </c>
      <c r="F253" s="13" t="str">
        <f aca="false">INDEX('Page Plan'!$E$2:$E$33,MATCH(E253,'Page Plan'!$A$2:$A$33,0))</f>
        <v>/blog/freezer-not-freezing</v>
      </c>
      <c r="G253" s="13" t="str">
        <f aca="false">INDEX('Page Plan'!$G$2:$G$33,MATCH(E253,'Page Plan'!$A$2:$A$33,0))</f>
        <v>Create new</v>
      </c>
      <c r="H253" s="18" t="str">
        <f aca="false">IF(A253=INDEX('Page Plan'!$H$2:$H$33,MATCH(E253,'Page Plan'!$A$2:$A$33,0)),"Primary","Secondary")</f>
        <v>Secondary</v>
      </c>
      <c r="I253" s="13" t="str">
        <f aca="false">IF(ISNUMBER(SEARCH("Informational",B253)),IF(ISNUMBER(SEARCH("Commercial",B253)),"Money","Support"),"Money")</f>
        <v>Support</v>
      </c>
    </row>
    <row r="254" customFormat="false" ht="15" hidden="false" customHeight="false" outlineLevel="0" collapsed="false">
      <c r="A254" s="13" t="s">
        <v>355</v>
      </c>
      <c r="B254" s="13" t="s">
        <v>391</v>
      </c>
      <c r="C254" s="16" t="n">
        <v>90</v>
      </c>
      <c r="D254" s="18" t="n">
        <v>18</v>
      </c>
      <c r="E254" s="13" t="s">
        <v>352</v>
      </c>
      <c r="F254" s="13" t="str">
        <f aca="false">INDEX('Page Plan'!$E$2:$E$33,MATCH(E254,'Page Plan'!$A$2:$A$33,0))</f>
        <v>/blog/fridge-making-noise</v>
      </c>
      <c r="G254" s="13" t="str">
        <f aca="false">INDEX('Page Plan'!$G$2:$G$33,MATCH(E254,'Page Plan'!$A$2:$A$33,0))</f>
        <v>Create new</v>
      </c>
      <c r="H254" s="18" t="str">
        <f aca="false">IF(A254=INDEX('Page Plan'!$H$2:$H$33,MATCH(E254,'Page Plan'!$A$2:$A$33,0)),"Primary","Secondary")</f>
        <v>Primary</v>
      </c>
      <c r="I254" s="13" t="str">
        <f aca="false">IF(ISNUMBER(SEARCH("Informational",B254)),IF(ISNUMBER(SEARCH("Commercial",B254)),"Money","Support"),"Money")</f>
        <v>Support</v>
      </c>
    </row>
    <row r="255" customFormat="false" ht="15" hidden="false" customHeight="false" outlineLevel="0" collapsed="false">
      <c r="A255" s="13" t="s">
        <v>596</v>
      </c>
      <c r="B255" s="13" t="s">
        <v>391</v>
      </c>
      <c r="C255" s="16" t="n">
        <v>50</v>
      </c>
      <c r="D255" s="18" t="n">
        <v>14</v>
      </c>
      <c r="E255" s="13" t="s">
        <v>352</v>
      </c>
      <c r="F255" s="13" t="str">
        <f aca="false">INDEX('Page Plan'!$E$2:$E$33,MATCH(E255,'Page Plan'!$A$2:$A$33,0))</f>
        <v>/blog/fridge-making-noise</v>
      </c>
      <c r="G255" s="13" t="str">
        <f aca="false">INDEX('Page Plan'!$G$2:$G$33,MATCH(E255,'Page Plan'!$A$2:$A$33,0))</f>
        <v>Create new</v>
      </c>
      <c r="H255" s="18" t="str">
        <f aca="false">IF(A255=INDEX('Page Plan'!$H$2:$H$33,MATCH(E255,'Page Plan'!$A$2:$A$33,0)),"Primary","Secondary")</f>
        <v>Secondary</v>
      </c>
      <c r="I255" s="13" t="str">
        <f aca="false">IF(ISNUMBER(SEARCH("Informational",B255)),IF(ISNUMBER(SEARCH("Commercial",B255)),"Money","Support"),"Money")</f>
        <v>Support</v>
      </c>
    </row>
    <row r="256" customFormat="false" ht="15" hidden="false" customHeight="false" outlineLevel="0" collapsed="false">
      <c r="A256" s="13" t="s">
        <v>597</v>
      </c>
      <c r="B256" s="13" t="s">
        <v>391</v>
      </c>
      <c r="C256" s="16" t="n">
        <v>50</v>
      </c>
      <c r="D256" s="18" t="n">
        <v>13</v>
      </c>
      <c r="E256" s="13" t="s">
        <v>352</v>
      </c>
      <c r="F256" s="13" t="str">
        <f aca="false">INDEX('Page Plan'!$E$2:$E$33,MATCH(E256,'Page Plan'!$A$2:$A$33,0))</f>
        <v>/blog/fridge-making-noise</v>
      </c>
      <c r="G256" s="13" t="str">
        <f aca="false">INDEX('Page Plan'!$G$2:$G$33,MATCH(E256,'Page Plan'!$A$2:$A$33,0))</f>
        <v>Create new</v>
      </c>
      <c r="H256" s="18" t="str">
        <f aca="false">IF(A256=INDEX('Page Plan'!$H$2:$H$33,MATCH(E256,'Page Plan'!$A$2:$A$33,0)),"Primary","Secondary")</f>
        <v>Secondary</v>
      </c>
      <c r="I256" s="13" t="str">
        <f aca="false">IF(ISNUMBER(SEARCH("Informational",B256)),IF(ISNUMBER(SEARCH("Commercial",B256)),"Money","Support"),"Money")</f>
        <v>Support</v>
      </c>
    </row>
    <row r="257" customFormat="false" ht="15" hidden="false" customHeight="false" outlineLevel="0" collapsed="false">
      <c r="A257" s="13" t="s">
        <v>598</v>
      </c>
      <c r="B257" s="13" t="s">
        <v>391</v>
      </c>
      <c r="C257" s="16" t="n">
        <v>50</v>
      </c>
      <c r="D257" s="18" t="n">
        <v>18</v>
      </c>
      <c r="E257" s="13" t="s">
        <v>352</v>
      </c>
      <c r="F257" s="13" t="str">
        <f aca="false">INDEX('Page Plan'!$E$2:$E$33,MATCH(E257,'Page Plan'!$A$2:$A$33,0))</f>
        <v>/blog/fridge-making-noise</v>
      </c>
      <c r="G257" s="13" t="str">
        <f aca="false">INDEX('Page Plan'!$G$2:$G$33,MATCH(E257,'Page Plan'!$A$2:$A$33,0))</f>
        <v>Create new</v>
      </c>
      <c r="H257" s="18" t="str">
        <f aca="false">IF(A257=INDEX('Page Plan'!$H$2:$H$33,MATCH(E257,'Page Plan'!$A$2:$A$33,0)),"Primary","Secondary")</f>
        <v>Secondary</v>
      </c>
      <c r="I257" s="13" t="str">
        <f aca="false">IF(ISNUMBER(SEARCH("Informational",B257)),IF(ISNUMBER(SEARCH("Commercial",B257)),"Money","Support"),"Money")</f>
        <v>Support</v>
      </c>
    </row>
    <row r="259" customFormat="false" ht="15" hidden="false" customHeight="false" outlineLevel="0" collapsed="false">
      <c r="A259" s="8" t="s">
        <v>599</v>
      </c>
    </row>
  </sheetData>
  <autoFilter ref="A1:I257"/>
  <conditionalFormatting sqref="D2:D257">
    <cfRule type="cellIs" priority="2" operator="lessThanOrEqual" aboveAverage="0" equalAverage="0" bottom="0" percent="0" rank="0" text="" dxfId="7">
      <formula>10</formula>
    </cfRule>
  </conditionalFormatting>
  <conditionalFormatting sqref="H2:H257">
    <cfRule type="cellIs" priority="3" operator="equal" aboveAverage="0" equalAverage="0" bottom="0" percent="0" rank="0" text="" dxfId="8">
      <formula>"Primary"</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2"/>
    <col collapsed="false" customWidth="true" hidden="false" outlineLevel="0" max="3" min="3" style="0" width="34"/>
    <col collapsed="false" customWidth="true" hidden="false" outlineLevel="0" max="4" min="4" style="0" width="14"/>
    <col collapsed="false" customWidth="true" hidden="false" outlineLevel="0" max="5" min="5" style="0" width="12"/>
    <col collapsed="false" customWidth="true" hidden="false" outlineLevel="0" max="6" min="6" style="0" width="14"/>
    <col collapsed="false" customWidth="true" hidden="false" outlineLevel="0" max="7" min="7" style="0" width="52"/>
    <col collapsed="false" customWidth="true" hidden="false" outlineLevel="0" max="8" min="8" style="0" width="55"/>
    <col collapsed="false" customWidth="true" hidden="false" outlineLevel="0" max="9" min="9" style="0" width="30"/>
  </cols>
  <sheetData>
    <row r="1" customFormat="false" ht="35.05" hidden="false" customHeight="false" outlineLevel="0" collapsed="false">
      <c r="A1" s="9" t="s">
        <v>600</v>
      </c>
      <c r="B1" s="9" t="s">
        <v>601</v>
      </c>
      <c r="C1" s="9" t="s">
        <v>602</v>
      </c>
      <c r="D1" s="9" t="s">
        <v>603</v>
      </c>
      <c r="E1" s="9" t="s">
        <v>604</v>
      </c>
      <c r="F1" s="9" t="s">
        <v>605</v>
      </c>
      <c r="G1" s="9" t="s">
        <v>606</v>
      </c>
      <c r="H1" s="9" t="s">
        <v>607</v>
      </c>
      <c r="I1" s="9" t="s">
        <v>608</v>
      </c>
    </row>
    <row r="2" customFormat="false" ht="61.5" hidden="false" customHeight="true" outlineLevel="0" collapsed="false">
      <c r="A2" s="13" t="n">
        <v>1</v>
      </c>
      <c r="B2" s="13" t="s">
        <v>609</v>
      </c>
      <c r="C2" s="14" t="s">
        <v>610</v>
      </c>
      <c r="D2" s="13" t="n">
        <v>16</v>
      </c>
      <c r="E2" s="16" t="n">
        <v>730</v>
      </c>
      <c r="F2" s="16" t="n">
        <v>236</v>
      </c>
      <c r="G2" s="14" t="s">
        <v>611</v>
      </c>
      <c r="H2" s="14" t="s">
        <v>612</v>
      </c>
      <c r="I2" s="14" t="s">
        <v>613</v>
      </c>
    </row>
    <row r="3" customFormat="false" ht="61.5" hidden="false" customHeight="true" outlineLevel="0" collapsed="false">
      <c r="A3" s="13" t="n">
        <v>2</v>
      </c>
      <c r="B3" s="13" t="s">
        <v>351</v>
      </c>
      <c r="C3" s="14" t="s">
        <v>614</v>
      </c>
      <c r="D3" s="13" t="n">
        <v>10</v>
      </c>
      <c r="E3" s="16" t="n">
        <v>254</v>
      </c>
      <c r="F3" s="16" t="n">
        <v>713</v>
      </c>
      <c r="G3" s="14" t="s">
        <v>615</v>
      </c>
      <c r="H3" s="14" t="s">
        <v>616</v>
      </c>
      <c r="I3" s="14" t="s">
        <v>617</v>
      </c>
    </row>
    <row r="4" customFormat="false" ht="61.5" hidden="false" customHeight="true" outlineLevel="0" collapsed="false">
      <c r="A4" s="13" t="n">
        <v>3</v>
      </c>
      <c r="B4" s="13" t="s">
        <v>618</v>
      </c>
      <c r="C4" s="14" t="s">
        <v>619</v>
      </c>
      <c r="D4" s="13" t="n">
        <v>10</v>
      </c>
      <c r="E4" s="16" t="n">
        <v>256</v>
      </c>
      <c r="F4" s="16" t="n">
        <v>1500</v>
      </c>
      <c r="G4" s="14" t="s">
        <v>620</v>
      </c>
      <c r="H4" s="14" t="s">
        <v>621</v>
      </c>
      <c r="I4" s="14" t="s">
        <v>617</v>
      </c>
    </row>
    <row r="5" customFormat="false" ht="61.5" hidden="false" customHeight="true" outlineLevel="0" collapsed="false">
      <c r="A5" s="13" t="n">
        <v>4</v>
      </c>
      <c r="B5" s="13" t="s">
        <v>622</v>
      </c>
      <c r="C5" s="14" t="s">
        <v>623</v>
      </c>
      <c r="D5" s="13" t="n">
        <v>15</v>
      </c>
      <c r="E5" s="16" t="n">
        <v>296</v>
      </c>
      <c r="F5" s="16" t="n">
        <v>378</v>
      </c>
      <c r="G5" s="14" t="s">
        <v>624</v>
      </c>
      <c r="H5" s="14" t="s">
        <v>625</v>
      </c>
      <c r="I5" s="14" t="s">
        <v>626</v>
      </c>
    </row>
    <row r="6" customFormat="false" ht="61.5" hidden="false" customHeight="true" outlineLevel="0" collapsed="false">
      <c r="A6" s="13" t="n">
        <v>5</v>
      </c>
      <c r="B6" s="13" t="s">
        <v>627</v>
      </c>
      <c r="C6" s="14" t="s">
        <v>628</v>
      </c>
      <c r="D6" s="13" t="n">
        <v>17</v>
      </c>
      <c r="E6" s="16" t="n">
        <v>406</v>
      </c>
      <c r="F6" s="16" t="n">
        <v>352</v>
      </c>
      <c r="G6" s="14" t="s">
        <v>629</v>
      </c>
      <c r="H6" s="14" t="s">
        <v>630</v>
      </c>
      <c r="I6" s="14" t="s">
        <v>626</v>
      </c>
    </row>
    <row r="7" customFormat="false" ht="61.5" hidden="false" customHeight="true" outlineLevel="0" collapsed="false">
      <c r="A7" s="13" t="n">
        <v>6</v>
      </c>
      <c r="B7" s="13" t="s">
        <v>631</v>
      </c>
      <c r="C7" s="14" t="s">
        <v>632</v>
      </c>
      <c r="D7" s="13" t="n">
        <v>11</v>
      </c>
      <c r="E7" s="16" t="n">
        <v>749</v>
      </c>
      <c r="F7" s="16" t="n">
        <v>1500</v>
      </c>
      <c r="G7" s="14" t="s">
        <v>633</v>
      </c>
      <c r="H7" s="14" t="s">
        <v>634</v>
      </c>
      <c r="I7" s="14" t="s">
        <v>635</v>
      </c>
    </row>
    <row r="8" customFormat="false" ht="61.5" hidden="false" customHeight="true" outlineLevel="0" collapsed="false">
      <c r="A8" s="13" t="n">
        <v>7</v>
      </c>
      <c r="B8" s="13" t="s">
        <v>636</v>
      </c>
      <c r="C8" s="14" t="s">
        <v>637</v>
      </c>
      <c r="D8" s="13" t="n">
        <v>11</v>
      </c>
      <c r="E8" s="16" t="n">
        <v>197</v>
      </c>
      <c r="F8" s="16" t="n">
        <v>1400</v>
      </c>
      <c r="G8" s="14" t="s">
        <v>638</v>
      </c>
      <c r="H8" s="14" t="s">
        <v>639</v>
      </c>
      <c r="I8" s="14" t="s">
        <v>640</v>
      </c>
    </row>
    <row r="9" customFormat="false" ht="61.5" hidden="false" customHeight="true" outlineLevel="0" collapsed="false">
      <c r="A9" s="13" t="n">
        <v>8</v>
      </c>
      <c r="B9" s="13" t="s">
        <v>641</v>
      </c>
      <c r="C9" s="14" t="s">
        <v>642</v>
      </c>
      <c r="D9" s="13" t="n">
        <v>10</v>
      </c>
      <c r="E9" s="16" t="n">
        <v>200</v>
      </c>
      <c r="F9" s="16" t="n">
        <v>515</v>
      </c>
      <c r="G9" s="14" t="s">
        <v>643</v>
      </c>
      <c r="H9" s="14" t="s">
        <v>644</v>
      </c>
      <c r="I9" s="14" t="s">
        <v>645</v>
      </c>
    </row>
    <row r="10" customFormat="false" ht="61.5" hidden="false" customHeight="true" outlineLevel="0" collapsed="false">
      <c r="A10" s="13" t="n">
        <v>9</v>
      </c>
      <c r="B10" s="13" t="s">
        <v>646</v>
      </c>
      <c r="C10" s="14" t="s">
        <v>647</v>
      </c>
      <c r="D10" s="13" t="n">
        <v>9</v>
      </c>
      <c r="E10" s="16" t="n">
        <v>200</v>
      </c>
      <c r="F10" s="16" t="n">
        <v>221</v>
      </c>
      <c r="G10" s="14" t="s">
        <v>648</v>
      </c>
      <c r="H10" s="14" t="s">
        <v>649</v>
      </c>
      <c r="I10" s="14" t="s">
        <v>650</v>
      </c>
    </row>
    <row r="11" customFormat="false" ht="61.5" hidden="false" customHeight="true" outlineLevel="0" collapsed="false">
      <c r="A11" s="13" t="n">
        <v>10</v>
      </c>
      <c r="B11" s="13" t="s">
        <v>651</v>
      </c>
      <c r="C11" s="14" t="s">
        <v>632</v>
      </c>
      <c r="D11" s="13" t="n">
        <v>9</v>
      </c>
      <c r="E11" s="16" t="n">
        <v>483</v>
      </c>
      <c r="F11" s="16" t="n">
        <v>647</v>
      </c>
      <c r="G11" s="14" t="s">
        <v>652</v>
      </c>
      <c r="H11" s="14" t="s">
        <v>653</v>
      </c>
      <c r="I11" s="14" t="s">
        <v>654</v>
      </c>
    </row>
    <row r="12" customFormat="false" ht="61.5" hidden="false" customHeight="true" outlineLevel="0" collapsed="false">
      <c r="A12" s="13" t="n">
        <v>11</v>
      </c>
      <c r="B12" s="13" t="s">
        <v>655</v>
      </c>
      <c r="C12" s="14" t="s">
        <v>656</v>
      </c>
      <c r="D12" s="13" t="n">
        <v>21</v>
      </c>
      <c r="E12" s="16" t="n">
        <v>1700</v>
      </c>
      <c r="F12" s="16" t="n">
        <v>1900</v>
      </c>
      <c r="G12" s="14" t="s">
        <v>657</v>
      </c>
      <c r="H12" s="14" t="s">
        <v>658</v>
      </c>
      <c r="I12" s="14" t="s">
        <v>659</v>
      </c>
    </row>
    <row r="13" customFormat="false" ht="61.5" hidden="false" customHeight="true" outlineLevel="0" collapsed="false">
      <c r="A13" s="20"/>
      <c r="B13" s="20" t="s">
        <v>660</v>
      </c>
      <c r="C13" s="21" t="s">
        <v>661</v>
      </c>
      <c r="D13" s="20" t="s">
        <v>662</v>
      </c>
      <c r="E13" s="22" t="n">
        <v>9</v>
      </c>
      <c r="F13" s="22" t="n">
        <v>0</v>
      </c>
      <c r="G13" s="21" t="s">
        <v>663</v>
      </c>
      <c r="H13" s="21"/>
      <c r="I13" s="21"/>
    </row>
    <row r="15" customFormat="false" ht="15" hidden="false" customHeight="false" outlineLevel="0" collapsed="false">
      <c r="B15" s="23" t="s">
        <v>664</v>
      </c>
      <c r="D15" s="24" t="n">
        <f aca="false">AVERAGE(D2:D12)</f>
        <v>12.6363636363636</v>
      </c>
    </row>
    <row r="16" customFormat="false" ht="15" hidden="false" customHeight="false" outlineLevel="0" collapsed="false">
      <c r="B16" s="23" t="s">
        <v>665</v>
      </c>
    </row>
    <row r="17" customFormat="false" ht="39.75" hidden="false" customHeight="true" outlineLevel="0" collapsed="false">
      <c r="B17" s="25" t="s">
        <v>666</v>
      </c>
      <c r="C17" s="25"/>
      <c r="D17" s="25"/>
      <c r="E17" s="25"/>
      <c r="F17" s="25"/>
      <c r="G17" s="25"/>
      <c r="H17" s="25"/>
      <c r="I17" s="25"/>
    </row>
    <row r="18" customFormat="false" ht="39.75" hidden="false" customHeight="true" outlineLevel="0" collapsed="false">
      <c r="B18" s="25" t="s">
        <v>667</v>
      </c>
      <c r="C18" s="25"/>
      <c r="D18" s="25"/>
      <c r="E18" s="25"/>
      <c r="F18" s="25"/>
      <c r="G18" s="25"/>
      <c r="H18" s="25"/>
      <c r="I18" s="25"/>
    </row>
    <row r="19" customFormat="false" ht="39.75" hidden="false" customHeight="true" outlineLevel="0" collapsed="false">
      <c r="B19" s="25" t="s">
        <v>668</v>
      </c>
      <c r="C19" s="25"/>
      <c r="D19" s="25"/>
      <c r="E19" s="25"/>
      <c r="F19" s="25"/>
      <c r="G19" s="25"/>
      <c r="H19" s="25"/>
      <c r="I19" s="25"/>
    </row>
  </sheetData>
  <mergeCells count="3">
    <mergeCell ref="B17:I17"/>
    <mergeCell ref="B18:I18"/>
    <mergeCell ref="B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34"/>
    <col collapsed="false" customWidth="true" hidden="false" outlineLevel="0" max="4" min="4" style="0" width="9"/>
    <col collapsed="false" customWidth="true" hidden="false" outlineLevel="0" max="5" min="5" style="0" width="10"/>
    <col collapsed="false" customWidth="true" hidden="false" outlineLevel="0" max="6" min="6" style="0" width="8"/>
    <col collapsed="false" customWidth="true" hidden="false" outlineLevel="0" max="7" min="7" style="0" width="14"/>
    <col collapsed="false" customWidth="true" hidden="false" outlineLevel="0" max="8" min="8" style="0" width="22"/>
    <col collapsed="false" customWidth="true" hidden="false" outlineLevel="0" max="9" min="9" style="0" width="46"/>
  </cols>
  <sheetData>
    <row r="1" customFormat="false" ht="15" hidden="false" customHeight="false" outlineLevel="0" collapsed="false">
      <c r="A1" s="9" t="s">
        <v>669</v>
      </c>
      <c r="B1" s="9" t="s">
        <v>670</v>
      </c>
      <c r="C1" s="9" t="s">
        <v>671</v>
      </c>
      <c r="D1" s="9" t="s">
        <v>672</v>
      </c>
      <c r="E1" s="9" t="s">
        <v>673</v>
      </c>
      <c r="F1" s="9" t="s">
        <v>364</v>
      </c>
      <c r="G1" s="9" t="s">
        <v>674</v>
      </c>
      <c r="H1" s="9" t="s">
        <v>675</v>
      </c>
      <c r="I1" s="9" t="s">
        <v>676</v>
      </c>
    </row>
    <row r="2" customFormat="false" ht="15" hidden="false" customHeight="false" outlineLevel="0" collapsed="false">
      <c r="A2" s="13" t="s">
        <v>609</v>
      </c>
      <c r="B2" s="14" t="s">
        <v>677</v>
      </c>
      <c r="C2" s="13" t="s">
        <v>386</v>
      </c>
      <c r="D2" s="13" t="n">
        <v>2</v>
      </c>
      <c r="E2" s="13" t="n">
        <v>140</v>
      </c>
      <c r="F2" s="13" t="n">
        <v>5</v>
      </c>
      <c r="G2" s="13" t="s">
        <v>371</v>
      </c>
      <c r="H2" s="13" t="s">
        <v>678</v>
      </c>
      <c r="I2" s="14" t="s">
        <v>679</v>
      </c>
    </row>
    <row r="3" customFormat="false" ht="15" hidden="false" customHeight="false" outlineLevel="0" collapsed="false">
      <c r="A3" s="13" t="s">
        <v>609</v>
      </c>
      <c r="B3" s="14" t="s">
        <v>680</v>
      </c>
      <c r="C3" s="13" t="s">
        <v>577</v>
      </c>
      <c r="D3" s="13" t="n">
        <v>1</v>
      </c>
      <c r="E3" s="13" t="n">
        <v>140</v>
      </c>
      <c r="F3" s="13" t="n">
        <v>7</v>
      </c>
      <c r="G3" s="13" t="s">
        <v>371</v>
      </c>
      <c r="H3" s="13" t="s">
        <v>681</v>
      </c>
      <c r="I3" s="14" t="s">
        <v>682</v>
      </c>
    </row>
    <row r="4" customFormat="false" ht="15" hidden="false" customHeight="false" outlineLevel="0" collapsed="false">
      <c r="A4" s="13" t="s">
        <v>609</v>
      </c>
      <c r="B4" s="14" t="s">
        <v>683</v>
      </c>
      <c r="C4" s="13" t="s">
        <v>574</v>
      </c>
      <c r="D4" s="13" t="n">
        <v>3</v>
      </c>
      <c r="E4" s="13" t="n">
        <v>70</v>
      </c>
      <c r="F4" s="13" t="n">
        <v>4</v>
      </c>
      <c r="G4" s="13" t="s">
        <v>371</v>
      </c>
      <c r="H4" s="13" t="s">
        <v>315</v>
      </c>
      <c r="I4" s="14" t="s">
        <v>684</v>
      </c>
    </row>
    <row r="5" customFormat="false" ht="15" hidden="false" customHeight="false" outlineLevel="0" collapsed="false">
      <c r="A5" s="13" t="s">
        <v>609</v>
      </c>
      <c r="B5" s="14" t="s">
        <v>685</v>
      </c>
      <c r="C5" s="13" t="s">
        <v>405</v>
      </c>
      <c r="D5" s="13" t="n">
        <v>2</v>
      </c>
      <c r="E5" s="13" t="n">
        <v>170</v>
      </c>
      <c r="F5" s="13" t="n">
        <v>6</v>
      </c>
      <c r="G5" s="13" t="s">
        <v>391</v>
      </c>
      <c r="H5" s="13" t="s">
        <v>93</v>
      </c>
      <c r="I5" s="14" t="s">
        <v>686</v>
      </c>
    </row>
    <row r="6" customFormat="false" ht="15" hidden="false" customHeight="false" outlineLevel="0" collapsed="false">
      <c r="A6" s="13" t="s">
        <v>609</v>
      </c>
      <c r="B6" s="14" t="s">
        <v>685</v>
      </c>
      <c r="C6" s="13" t="s">
        <v>408</v>
      </c>
      <c r="D6" s="13" t="n">
        <v>2</v>
      </c>
      <c r="E6" s="13" t="n">
        <v>110</v>
      </c>
      <c r="F6" s="13" t="n">
        <v>6</v>
      </c>
      <c r="G6" s="13" t="s">
        <v>391</v>
      </c>
      <c r="H6" s="13" t="s">
        <v>93</v>
      </c>
      <c r="I6" s="14" t="s">
        <v>687</v>
      </c>
    </row>
    <row r="7" customFormat="false" ht="15" hidden="false" customHeight="false" outlineLevel="0" collapsed="false">
      <c r="A7" s="13" t="s">
        <v>609</v>
      </c>
      <c r="B7" s="14" t="s">
        <v>688</v>
      </c>
      <c r="C7" s="13" t="s">
        <v>486</v>
      </c>
      <c r="D7" s="13" t="n">
        <v>8</v>
      </c>
      <c r="E7" s="13" t="n">
        <v>90</v>
      </c>
      <c r="F7" s="13" t="n">
        <v>8</v>
      </c>
      <c r="G7" s="13" t="s">
        <v>371</v>
      </c>
      <c r="H7" s="13" t="s">
        <v>180</v>
      </c>
      <c r="I7" s="14" t="s">
        <v>684</v>
      </c>
    </row>
    <row r="8" customFormat="false" ht="15" hidden="false" customHeight="false" outlineLevel="0" collapsed="false">
      <c r="A8" s="13" t="s">
        <v>609</v>
      </c>
      <c r="B8" s="14" t="s">
        <v>689</v>
      </c>
      <c r="C8" s="13" t="s">
        <v>282</v>
      </c>
      <c r="D8" s="13" t="n">
        <v>8</v>
      </c>
      <c r="E8" s="13" t="n">
        <v>90</v>
      </c>
      <c r="F8" s="13" t="n">
        <v>9</v>
      </c>
      <c r="G8" s="13" t="s">
        <v>391</v>
      </c>
      <c r="H8" s="13" t="s">
        <v>279</v>
      </c>
      <c r="I8" s="14" t="s">
        <v>684</v>
      </c>
    </row>
    <row r="9" customFormat="false" ht="15" hidden="false" customHeight="false" outlineLevel="0" collapsed="false">
      <c r="A9" s="13" t="s">
        <v>351</v>
      </c>
      <c r="B9" s="14" t="s">
        <v>66</v>
      </c>
      <c r="C9" s="13" t="s">
        <v>690</v>
      </c>
      <c r="D9" s="13" t="n">
        <v>1</v>
      </c>
      <c r="E9" s="13" t="n">
        <v>3600</v>
      </c>
      <c r="F9" s="13" t="n">
        <v>38</v>
      </c>
      <c r="G9" s="13" t="s">
        <v>369</v>
      </c>
      <c r="H9" s="13" t="s">
        <v>62</v>
      </c>
      <c r="I9" s="14" t="s">
        <v>691</v>
      </c>
    </row>
    <row r="10" customFormat="false" ht="15" hidden="false" customHeight="false" outlineLevel="0" collapsed="false">
      <c r="A10" s="13" t="s">
        <v>351</v>
      </c>
      <c r="B10" s="14" t="s">
        <v>66</v>
      </c>
      <c r="C10" s="13" t="s">
        <v>378</v>
      </c>
      <c r="D10" s="13" t="n">
        <v>5</v>
      </c>
      <c r="E10" s="13" t="n">
        <v>480</v>
      </c>
      <c r="F10" s="13" t="n">
        <v>8</v>
      </c>
      <c r="G10" s="13" t="s">
        <v>369</v>
      </c>
      <c r="H10" s="13" t="s">
        <v>62</v>
      </c>
      <c r="I10" s="14" t="s">
        <v>692</v>
      </c>
    </row>
    <row r="11" customFormat="false" ht="15" hidden="false" customHeight="false" outlineLevel="0" collapsed="false">
      <c r="A11" s="13" t="s">
        <v>351</v>
      </c>
      <c r="B11" s="14" t="s">
        <v>66</v>
      </c>
      <c r="C11" s="13" t="s">
        <v>379</v>
      </c>
      <c r="D11" s="13" t="n">
        <v>1</v>
      </c>
      <c r="E11" s="13" t="n">
        <v>320</v>
      </c>
      <c r="F11" s="13" t="n">
        <v>16</v>
      </c>
      <c r="G11" s="13" t="s">
        <v>369</v>
      </c>
      <c r="H11" s="13" t="s">
        <v>62</v>
      </c>
      <c r="I11" s="14" t="s">
        <v>74</v>
      </c>
    </row>
    <row r="12" customFormat="false" ht="15" hidden="false" customHeight="false" outlineLevel="0" collapsed="false">
      <c r="A12" s="13" t="s">
        <v>351</v>
      </c>
      <c r="B12" s="14" t="s">
        <v>693</v>
      </c>
      <c r="C12" s="13" t="s">
        <v>539</v>
      </c>
      <c r="D12" s="13" t="n">
        <v>36</v>
      </c>
      <c r="E12" s="13" t="n">
        <v>1000</v>
      </c>
      <c r="F12" s="13" t="n">
        <v>16</v>
      </c>
      <c r="G12" s="13" t="s">
        <v>538</v>
      </c>
      <c r="H12" s="13" t="s">
        <v>234</v>
      </c>
      <c r="I12" s="14" t="s">
        <v>694</v>
      </c>
    </row>
    <row r="13" customFormat="false" ht="15" hidden="false" customHeight="false" outlineLevel="0" collapsed="false">
      <c r="A13" s="13" t="s">
        <v>618</v>
      </c>
      <c r="B13" s="14" t="s">
        <v>66</v>
      </c>
      <c r="C13" s="13" t="s">
        <v>155</v>
      </c>
      <c r="D13" s="13" t="n">
        <v>1</v>
      </c>
      <c r="E13" s="13" t="n">
        <v>480</v>
      </c>
      <c r="F13" s="13" t="n">
        <v>7</v>
      </c>
      <c r="G13" s="13" t="s">
        <v>371</v>
      </c>
      <c r="H13" s="13" t="s">
        <v>151</v>
      </c>
      <c r="I13" s="14" t="s">
        <v>684</v>
      </c>
    </row>
    <row r="14" customFormat="false" ht="15" hidden="false" customHeight="false" outlineLevel="0" collapsed="false">
      <c r="A14" s="13" t="s">
        <v>618</v>
      </c>
      <c r="B14" s="14" t="s">
        <v>66</v>
      </c>
      <c r="C14" s="13" t="s">
        <v>78</v>
      </c>
      <c r="D14" s="13" t="n">
        <v>2</v>
      </c>
      <c r="E14" s="13" t="n">
        <v>720</v>
      </c>
      <c r="F14" s="13" t="n">
        <v>6</v>
      </c>
      <c r="G14" s="13" t="s">
        <v>371</v>
      </c>
      <c r="H14" s="13" t="s">
        <v>75</v>
      </c>
      <c r="I14" s="14" t="s">
        <v>74</v>
      </c>
    </row>
    <row r="15" customFormat="false" ht="15" hidden="false" customHeight="false" outlineLevel="0" collapsed="false">
      <c r="A15" s="13" t="s">
        <v>618</v>
      </c>
      <c r="B15" s="14" t="s">
        <v>66</v>
      </c>
      <c r="C15" s="13" t="s">
        <v>529</v>
      </c>
      <c r="D15" s="13" t="n">
        <v>1</v>
      </c>
      <c r="E15" s="13" t="n">
        <v>50</v>
      </c>
      <c r="F15" s="13" t="n">
        <v>11</v>
      </c>
      <c r="G15" s="13" t="s">
        <v>371</v>
      </c>
      <c r="H15" s="13" t="s">
        <v>216</v>
      </c>
      <c r="I15" s="14" t="s">
        <v>684</v>
      </c>
    </row>
    <row r="16" customFormat="false" ht="15" hidden="false" customHeight="false" outlineLevel="0" collapsed="false">
      <c r="A16" s="13" t="s">
        <v>622</v>
      </c>
      <c r="B16" s="14" t="s">
        <v>695</v>
      </c>
      <c r="C16" s="13" t="s">
        <v>165</v>
      </c>
      <c r="D16" s="13" t="n">
        <v>4</v>
      </c>
      <c r="E16" s="13" t="n">
        <v>720</v>
      </c>
      <c r="F16" s="13" t="n">
        <v>14</v>
      </c>
      <c r="G16" s="13" t="s">
        <v>371</v>
      </c>
      <c r="H16" s="13" t="s">
        <v>162</v>
      </c>
      <c r="I16" s="14" t="s">
        <v>684</v>
      </c>
    </row>
    <row r="17" customFormat="false" ht="15" hidden="false" customHeight="false" outlineLevel="0" collapsed="false">
      <c r="A17" s="13" t="s">
        <v>622</v>
      </c>
      <c r="B17" s="14" t="s">
        <v>696</v>
      </c>
      <c r="C17" s="13" t="s">
        <v>192</v>
      </c>
      <c r="D17" s="13" t="n">
        <v>5</v>
      </c>
      <c r="E17" s="13" t="n">
        <v>210</v>
      </c>
      <c r="F17" s="13" t="n">
        <v>6</v>
      </c>
      <c r="G17" s="13" t="s">
        <v>371</v>
      </c>
      <c r="H17" s="13" t="s">
        <v>189</v>
      </c>
      <c r="I17" s="14" t="s">
        <v>684</v>
      </c>
    </row>
    <row r="18" customFormat="false" ht="15" hidden="false" customHeight="false" outlineLevel="0" collapsed="false">
      <c r="A18" s="13" t="s">
        <v>622</v>
      </c>
      <c r="B18" s="14" t="s">
        <v>697</v>
      </c>
      <c r="C18" s="13" t="s">
        <v>483</v>
      </c>
      <c r="D18" s="13" t="n">
        <v>5</v>
      </c>
      <c r="E18" s="13" t="n">
        <v>170</v>
      </c>
      <c r="F18" s="13" t="n">
        <v>20</v>
      </c>
      <c r="G18" s="13" t="s">
        <v>369</v>
      </c>
      <c r="H18" s="13" t="s">
        <v>180</v>
      </c>
      <c r="I18" s="14" t="s">
        <v>684</v>
      </c>
    </row>
    <row r="19" customFormat="false" ht="15" hidden="false" customHeight="false" outlineLevel="0" collapsed="false">
      <c r="A19" s="13" t="s">
        <v>627</v>
      </c>
      <c r="B19" s="14" t="s">
        <v>66</v>
      </c>
      <c r="C19" s="13" t="s">
        <v>453</v>
      </c>
      <c r="D19" s="13" t="n">
        <v>1</v>
      </c>
      <c r="E19" s="13" t="n">
        <v>390</v>
      </c>
      <c r="F19" s="13" t="n">
        <v>14</v>
      </c>
      <c r="G19" s="13" t="s">
        <v>371</v>
      </c>
      <c r="H19" s="13" t="s">
        <v>162</v>
      </c>
      <c r="I19" s="14" t="s">
        <v>684</v>
      </c>
    </row>
    <row r="20" customFormat="false" ht="15" hidden="false" customHeight="false" outlineLevel="0" collapsed="false">
      <c r="A20" s="13" t="s">
        <v>627</v>
      </c>
      <c r="B20" s="14" t="s">
        <v>66</v>
      </c>
      <c r="C20" s="13" t="s">
        <v>460</v>
      </c>
      <c r="D20" s="13" t="n">
        <v>1</v>
      </c>
      <c r="E20" s="13" t="n">
        <v>140</v>
      </c>
      <c r="F20" s="13" t="n">
        <v>17</v>
      </c>
      <c r="G20" s="13" t="s">
        <v>369</v>
      </c>
      <c r="H20" s="13" t="s">
        <v>162</v>
      </c>
      <c r="I20" s="14" t="s">
        <v>684</v>
      </c>
    </row>
    <row r="21" customFormat="false" ht="15" hidden="false" customHeight="false" outlineLevel="0" collapsed="false">
      <c r="A21" s="13" t="s">
        <v>627</v>
      </c>
      <c r="B21" s="14" t="s">
        <v>66</v>
      </c>
      <c r="C21" s="13" t="s">
        <v>479</v>
      </c>
      <c r="D21" s="13" t="n">
        <v>5</v>
      </c>
      <c r="E21" s="13" t="n">
        <v>140</v>
      </c>
      <c r="F21" s="13" t="n">
        <v>5</v>
      </c>
      <c r="G21" s="13" t="s">
        <v>369</v>
      </c>
      <c r="H21" s="13" t="s">
        <v>171</v>
      </c>
      <c r="I21" s="14" t="s">
        <v>684</v>
      </c>
    </row>
    <row r="22" customFormat="false" ht="23.85" hidden="false" customHeight="false" outlineLevel="0" collapsed="false">
      <c r="A22" s="13" t="s">
        <v>636</v>
      </c>
      <c r="B22" s="14" t="s">
        <v>66</v>
      </c>
      <c r="C22" s="13" t="s">
        <v>174</v>
      </c>
      <c r="D22" s="13" t="n">
        <v>2</v>
      </c>
      <c r="E22" s="13" t="n">
        <v>720</v>
      </c>
      <c r="F22" s="13" t="n">
        <v>6</v>
      </c>
      <c r="G22" s="13" t="s">
        <v>371</v>
      </c>
      <c r="H22" s="13" t="s">
        <v>171</v>
      </c>
      <c r="I22" s="14" t="s">
        <v>698</v>
      </c>
    </row>
    <row r="23" customFormat="false" ht="15" hidden="false" customHeight="false" outlineLevel="0" collapsed="false">
      <c r="A23" s="13" t="s">
        <v>641</v>
      </c>
      <c r="B23" s="14" t="s">
        <v>699</v>
      </c>
      <c r="C23" s="13" t="s">
        <v>478</v>
      </c>
      <c r="D23" s="13" t="n">
        <v>1</v>
      </c>
      <c r="E23" s="13" t="n">
        <v>140</v>
      </c>
      <c r="F23" s="13" t="n">
        <v>8</v>
      </c>
      <c r="G23" s="13" t="s">
        <v>371</v>
      </c>
      <c r="H23" s="13" t="s">
        <v>171</v>
      </c>
      <c r="I23" s="14" t="s">
        <v>684</v>
      </c>
    </row>
    <row r="24" customFormat="false" ht="15" hidden="false" customHeight="false" outlineLevel="0" collapsed="false">
      <c r="A24" s="13" t="s">
        <v>646</v>
      </c>
      <c r="B24" s="14" t="s">
        <v>700</v>
      </c>
      <c r="C24" s="13" t="s">
        <v>501</v>
      </c>
      <c r="D24" s="13" t="n">
        <v>2</v>
      </c>
      <c r="E24" s="13" t="n">
        <v>90</v>
      </c>
      <c r="F24" s="13" t="n">
        <v>6</v>
      </c>
      <c r="G24" s="13" t="s">
        <v>391</v>
      </c>
      <c r="H24" s="13" t="s">
        <v>189</v>
      </c>
      <c r="I24" s="14" t="s">
        <v>684</v>
      </c>
    </row>
    <row r="25" customFormat="false" ht="15" hidden="false" customHeight="false" outlineLevel="0" collapsed="false">
      <c r="A25" s="13" t="s">
        <v>631</v>
      </c>
      <c r="B25" s="14" t="s">
        <v>701</v>
      </c>
      <c r="C25" s="13" t="s">
        <v>337</v>
      </c>
      <c r="D25" s="13" t="n">
        <v>1</v>
      </c>
      <c r="E25" s="13" t="n">
        <v>260</v>
      </c>
      <c r="F25" s="13" t="n">
        <v>17</v>
      </c>
      <c r="G25" s="13" t="s">
        <v>391</v>
      </c>
      <c r="H25" s="13" t="s">
        <v>334</v>
      </c>
      <c r="I25" s="14" t="s">
        <v>702</v>
      </c>
    </row>
    <row r="26" customFormat="false" ht="15" hidden="false" customHeight="false" outlineLevel="0" collapsed="false">
      <c r="A26" s="13" t="s">
        <v>631</v>
      </c>
      <c r="B26" s="14" t="s">
        <v>703</v>
      </c>
      <c r="C26" s="13" t="s">
        <v>134</v>
      </c>
      <c r="D26" s="13" t="n">
        <v>3</v>
      </c>
      <c r="E26" s="13" t="n">
        <v>390</v>
      </c>
      <c r="F26" s="13" t="n">
        <v>7</v>
      </c>
      <c r="G26" s="13" t="s">
        <v>391</v>
      </c>
      <c r="H26" s="13" t="s">
        <v>131</v>
      </c>
      <c r="I26" s="14" t="s">
        <v>704</v>
      </c>
    </row>
    <row r="27" customFormat="false" ht="15" hidden="false" customHeight="false" outlineLevel="0" collapsed="false">
      <c r="A27" s="13" t="s">
        <v>631</v>
      </c>
      <c r="B27" s="14" t="s">
        <v>66</v>
      </c>
      <c r="C27" s="13" t="s">
        <v>414</v>
      </c>
      <c r="D27" s="13" t="n">
        <v>1</v>
      </c>
      <c r="E27" s="13" t="n">
        <v>170</v>
      </c>
      <c r="F27" s="13" t="n">
        <v>4</v>
      </c>
      <c r="G27" s="13" t="s">
        <v>391</v>
      </c>
      <c r="H27" s="13" t="s">
        <v>102</v>
      </c>
      <c r="I27" s="14" t="s">
        <v>705</v>
      </c>
    </row>
    <row r="28" customFormat="false" ht="15" hidden="false" customHeight="false" outlineLevel="0" collapsed="false">
      <c r="A28" s="13" t="s">
        <v>631</v>
      </c>
      <c r="B28" s="14" t="s">
        <v>66</v>
      </c>
      <c r="C28" s="13" t="s">
        <v>210</v>
      </c>
      <c r="D28" s="13" t="n">
        <v>5</v>
      </c>
      <c r="E28" s="13" t="n">
        <v>260</v>
      </c>
      <c r="F28" s="13" t="n">
        <v>11</v>
      </c>
      <c r="G28" s="13" t="s">
        <v>391</v>
      </c>
      <c r="H28" s="13" t="s">
        <v>207</v>
      </c>
      <c r="I28" s="14" t="s">
        <v>684</v>
      </c>
    </row>
    <row r="30" customFormat="false" ht="15" hidden="false" customHeight="false" outlineLevel="0" collapsed="false">
      <c r="A30" s="8" t="s">
        <v>706</v>
      </c>
    </row>
  </sheetData>
  <autoFilter ref="A1:I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70"/>
    <col collapsed="false" customWidth="true" hidden="false" outlineLevel="0" max="3" min="3" style="0" width="14"/>
    <col collapsed="false" customWidth="true" hidden="false" outlineLevel="0" max="4" min="4" style="0" width="80"/>
  </cols>
  <sheetData>
    <row r="1" customFormat="false" ht="15" hidden="false" customHeight="false" outlineLevel="0" collapsed="false">
      <c r="A1" s="9" t="s">
        <v>707</v>
      </c>
      <c r="B1" s="9" t="s">
        <v>708</v>
      </c>
      <c r="C1" s="9" t="s">
        <v>61</v>
      </c>
      <c r="D1" s="9" t="s">
        <v>709</v>
      </c>
    </row>
    <row r="2" customFormat="false" ht="57.75" hidden="false" customHeight="true" outlineLevel="0" collapsed="false">
      <c r="A2" s="14" t="s">
        <v>710</v>
      </c>
      <c r="B2" s="14" t="s">
        <v>711</v>
      </c>
      <c r="C2" s="13" t="s">
        <v>712</v>
      </c>
      <c r="D2" s="14" t="s">
        <v>713</v>
      </c>
    </row>
    <row r="3" customFormat="false" ht="57.75" hidden="false" customHeight="true" outlineLevel="0" collapsed="false">
      <c r="A3" s="14" t="s">
        <v>714</v>
      </c>
      <c r="B3" s="14" t="s">
        <v>715</v>
      </c>
      <c r="C3" s="13" t="s">
        <v>716</v>
      </c>
      <c r="D3" s="14" t="s">
        <v>717</v>
      </c>
    </row>
    <row r="4" customFormat="false" ht="57.75" hidden="false" customHeight="true" outlineLevel="0" collapsed="false">
      <c r="A4" s="14" t="s">
        <v>718</v>
      </c>
      <c r="B4" s="14" t="s">
        <v>719</v>
      </c>
      <c r="C4" s="13" t="s">
        <v>716</v>
      </c>
      <c r="D4" s="14" t="s">
        <v>720</v>
      </c>
    </row>
    <row r="5" customFormat="false" ht="57.75" hidden="false" customHeight="true" outlineLevel="0" collapsed="false">
      <c r="A5" s="14" t="s">
        <v>653</v>
      </c>
      <c r="B5" s="14" t="s">
        <v>721</v>
      </c>
      <c r="C5" s="13" t="s">
        <v>716</v>
      </c>
      <c r="D5" s="14" t="s">
        <v>722</v>
      </c>
    </row>
    <row r="6" customFormat="false" ht="57.75" hidden="false" customHeight="true" outlineLevel="0" collapsed="false">
      <c r="A6" s="14" t="s">
        <v>723</v>
      </c>
      <c r="B6" s="14" t="s">
        <v>724</v>
      </c>
      <c r="C6" s="13" t="s">
        <v>725</v>
      </c>
      <c r="D6" s="14" t="s">
        <v>726</v>
      </c>
    </row>
    <row r="7" customFormat="false" ht="57.75" hidden="false" customHeight="true" outlineLevel="0" collapsed="false">
      <c r="A7" s="14" t="s">
        <v>727</v>
      </c>
      <c r="B7" s="14" t="s">
        <v>728</v>
      </c>
      <c r="C7" s="13" t="s">
        <v>729</v>
      </c>
      <c r="D7" s="14" t="s">
        <v>730</v>
      </c>
    </row>
    <row r="8" customFormat="false" ht="57.75" hidden="false" customHeight="true" outlineLevel="0" collapsed="false">
      <c r="A8" s="14" t="s">
        <v>731</v>
      </c>
      <c r="B8" s="14" t="s">
        <v>732</v>
      </c>
      <c r="C8" s="13" t="s">
        <v>733</v>
      </c>
      <c r="D8" s="14" t="s">
        <v>734</v>
      </c>
    </row>
    <row r="9" customFormat="false" ht="57.75" hidden="false" customHeight="true" outlineLevel="0" collapsed="false">
      <c r="A9" s="14" t="s">
        <v>735</v>
      </c>
      <c r="B9" s="14" t="s">
        <v>736</v>
      </c>
      <c r="C9" s="13" t="s">
        <v>737</v>
      </c>
      <c r="D9" s="14" t="s">
        <v>738</v>
      </c>
    </row>
    <row r="10" customFormat="false" ht="57.75" hidden="false" customHeight="true" outlineLevel="0" collapsed="false">
      <c r="A10" s="14" t="s">
        <v>739</v>
      </c>
      <c r="B10" s="14" t="s">
        <v>740</v>
      </c>
      <c r="C10" s="13" t="s">
        <v>741</v>
      </c>
      <c r="D10" s="14" t="s">
        <v>742</v>
      </c>
    </row>
    <row r="11" customFormat="false" ht="57.75" hidden="false" customHeight="true" outlineLevel="0" collapsed="false">
      <c r="A11" s="14" t="s">
        <v>743</v>
      </c>
      <c r="B11" s="14" t="s">
        <v>744</v>
      </c>
      <c r="C11" s="13" t="s">
        <v>745</v>
      </c>
      <c r="D11" s="14" t="s">
        <v>746</v>
      </c>
    </row>
    <row r="12" customFormat="false" ht="57.75" hidden="false" customHeight="true" outlineLevel="0" collapsed="false">
      <c r="A12" s="14" t="s">
        <v>747</v>
      </c>
      <c r="B12" s="14" t="s">
        <v>748</v>
      </c>
      <c r="C12" s="13" t="s">
        <v>749</v>
      </c>
      <c r="D12" s="14" t="s">
        <v>750</v>
      </c>
    </row>
    <row r="14" customFormat="false" ht="15" hidden="false" customHeight="false" outlineLevel="0" collapsed="false">
      <c r="A14" s="8" t="s">
        <v>751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4"/>
    <col collapsed="false" customWidth="true" hidden="false" outlineLevel="0" max="4" min="3" style="0" width="74"/>
  </cols>
  <sheetData>
    <row r="1" customFormat="false" ht="15" hidden="false" customHeight="false" outlineLevel="0" collapsed="false">
      <c r="A1" s="9" t="s">
        <v>752</v>
      </c>
      <c r="B1" s="9" t="s">
        <v>753</v>
      </c>
      <c r="C1" s="9" t="s">
        <v>754</v>
      </c>
      <c r="D1" s="9" t="s">
        <v>755</v>
      </c>
    </row>
    <row r="2" customFormat="false" ht="69.75" hidden="false" customHeight="true" outlineLevel="0" collapsed="false">
      <c r="A2" s="14" t="s">
        <v>756</v>
      </c>
      <c r="B2" s="13" t="n">
        <v>6</v>
      </c>
      <c r="C2" s="14" t="s">
        <v>757</v>
      </c>
      <c r="D2" s="14" t="s">
        <v>758</v>
      </c>
    </row>
    <row r="3" customFormat="false" ht="69.75" hidden="false" customHeight="true" outlineLevel="0" collapsed="false">
      <c r="A3" s="14" t="s">
        <v>759</v>
      </c>
      <c r="B3" s="13" t="n">
        <v>5</v>
      </c>
      <c r="C3" s="14" t="s">
        <v>760</v>
      </c>
      <c r="D3" s="14" t="s">
        <v>761</v>
      </c>
    </row>
    <row r="4" customFormat="false" ht="69.75" hidden="false" customHeight="true" outlineLevel="0" collapsed="false">
      <c r="A4" s="14" t="s">
        <v>762</v>
      </c>
      <c r="B4" s="13" t="n">
        <v>4</v>
      </c>
      <c r="C4" s="14" t="s">
        <v>763</v>
      </c>
      <c r="D4" s="14" t="s">
        <v>764</v>
      </c>
    </row>
    <row r="5" customFormat="false" ht="69.75" hidden="false" customHeight="true" outlineLevel="0" collapsed="false">
      <c r="A5" s="14" t="s">
        <v>765</v>
      </c>
      <c r="B5" s="13" t="n">
        <v>18</v>
      </c>
      <c r="C5" s="14" t="s">
        <v>766</v>
      </c>
      <c r="D5" s="14" t="s">
        <v>767</v>
      </c>
    </row>
    <row r="6" customFormat="false" ht="69.75" hidden="false" customHeight="true" outlineLevel="0" collapsed="false">
      <c r="A6" s="14" t="s">
        <v>768</v>
      </c>
      <c r="B6" s="13" t="n">
        <v>20</v>
      </c>
      <c r="C6" s="14" t="s">
        <v>769</v>
      </c>
      <c r="D6" s="14" t="s">
        <v>770</v>
      </c>
    </row>
    <row r="7" customFormat="false" ht="69.75" hidden="false" customHeight="true" outlineLevel="0" collapsed="false">
      <c r="A7" s="14" t="s">
        <v>771</v>
      </c>
      <c r="B7" s="13" t="n">
        <v>6</v>
      </c>
      <c r="C7" s="14" t="s">
        <v>772</v>
      </c>
      <c r="D7" s="14" t="s">
        <v>773</v>
      </c>
    </row>
    <row r="8" customFormat="false" ht="69.75" hidden="false" customHeight="true" outlineLevel="0" collapsed="false">
      <c r="A8" s="14" t="s">
        <v>774</v>
      </c>
      <c r="B8" s="13" t="n">
        <v>7</v>
      </c>
      <c r="C8" s="14" t="s">
        <v>775</v>
      </c>
      <c r="D8" s="14" t="s">
        <v>776</v>
      </c>
    </row>
    <row r="9" customFormat="false" ht="69.75" hidden="false" customHeight="true" outlineLevel="0" collapsed="false">
      <c r="A9" s="14" t="s">
        <v>777</v>
      </c>
      <c r="B9" s="13" t="n">
        <v>4</v>
      </c>
      <c r="C9" s="14" t="s">
        <v>778</v>
      </c>
      <c r="D9" s="14" t="s">
        <v>779</v>
      </c>
    </row>
    <row r="10" customFormat="false" ht="69.75" hidden="false" customHeight="true" outlineLevel="0" collapsed="false">
      <c r="A10" s="14" t="s">
        <v>780</v>
      </c>
      <c r="B10" s="13" t="n">
        <v>2</v>
      </c>
      <c r="C10" s="14" t="s">
        <v>781</v>
      </c>
      <c r="D10" s="14" t="s">
        <v>782</v>
      </c>
    </row>
    <row r="11" customFormat="false" ht="69.75" hidden="false" customHeight="true" outlineLevel="0" collapsed="false">
      <c r="A11" s="14" t="s">
        <v>783</v>
      </c>
      <c r="B11" s="13" t="n">
        <v>16</v>
      </c>
      <c r="C11" s="14" t="s">
        <v>784</v>
      </c>
      <c r="D11" s="14" t="s">
        <v>785</v>
      </c>
    </row>
    <row r="12" customFormat="false" ht="69.75" hidden="false" customHeight="true" outlineLevel="0" collapsed="false">
      <c r="A12" s="14" t="s">
        <v>786</v>
      </c>
      <c r="B12" s="13"/>
      <c r="C12" s="14" t="s">
        <v>787</v>
      </c>
      <c r="D12" s="14" t="s">
        <v>788</v>
      </c>
    </row>
    <row r="13" customFormat="false" ht="69.75" hidden="false" customHeight="true" outlineLevel="0" collapsed="false">
      <c r="A13" s="26" t="s">
        <v>789</v>
      </c>
      <c r="B13" s="13" t="n">
        <f aca="false">SUM(B2:B12)</f>
        <v>88</v>
      </c>
      <c r="C13" s="14" t="s">
        <v>790</v>
      </c>
      <c r="D13" s="14" t="s">
        <v>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2026-10-16T08:06:50Z</dcterms:created>
  <dc:creator>openpyxl</dc:creator>
  <dc:description/>
  <dc:language>en-US</dc:language>
  <cp:lastModifiedBy/>
  <dcterms:modified xsi:type="dcterms:W3CDTF">2026-10-16T08:06:50Z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